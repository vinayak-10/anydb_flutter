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 2026" sheetId="1" r:id="rId1"/>
    <sheet name="Sat Mar 21 2026" sheetId="2" r:id="rId2"/>
    <sheet name="Fri Mar 20 2026" sheetId="3" r:id="rId3"/>
    <sheet name="Thu Mar 19 2026" sheetId="4" r:id="rId4"/>
    <sheet name="Wed Mar 18 2026" sheetId="5" r:id="rId5"/>
    <sheet name="Tue Mar 17 2026" sheetId="6" r:id="rId6"/>
    <sheet name="Mon Mar 16 2026" sheetId="7" r:id="rId7"/>
    <sheet name="Sat Mar 14 2026" sheetId="8" r:id="rId8"/>
    <sheet name="Fri Mar 13 2026" sheetId="9" r:id="rId9"/>
    <sheet name="Thu Mar 12 2026" sheetId="10" r:id="rId10"/>
    <sheet name="Wed Mar 11 2026" sheetId="11" r:id="rId11"/>
    <sheet name="Tue Mar 10 2026" sheetId="12" r:id="rId12"/>
    <sheet name="Mon Mar 09 2026" sheetId="13" r:id="rId13"/>
    <sheet name="Sat Mar 07 2026" sheetId="14" r:id="rId14"/>
    <sheet name="Fri Mar 06 2026" sheetId="15" r:id="rId15"/>
    <sheet name="Thu Mar 05 2026" sheetId="16" r:id="rId16"/>
    <sheet name="Tue Mar 03 2026" sheetId="17" r:id="rId17"/>
    <sheet name="Mon Mar 02 2026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workbookViewId="0" rightToLeft="0"/>
  </sheetViews>
  <sheetData>
    <row r="1">
      <c r="A1" t="str">
        <v>Report Type</v>
      </c>
      <c r="B1" t="str">
        <v>Monthly</v>
      </c>
    </row>
    <row r="2">
      <c r="A2" t="str">
        <v>Ramakrishna Mission, Indore</v>
      </c>
      <c r="B2" t="str">
        <v/>
      </c>
    </row>
    <row r="3">
      <c r="A3" t="str">
        <v>Physiotherapy Center's Monthly Report</v>
      </c>
    </row>
    <row r="4">
      <c r="A4" t="str">
        <v>Patients in Month</v>
      </c>
      <c r="B4" t="str">
        <v>Sat Mar 21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  <c r="O6" t="str">
        <v>Average New Patients</v>
      </c>
      <c r="P6" t="str">
        <v>Average Exiting Patients</v>
      </c>
      <c r="Q6" t="str">
        <v>Average Patients</v>
      </c>
      <c r="R6" t="str">
        <v>Working Days</v>
      </c>
    </row>
    <row r="7">
      <c r="A7" t="e">
        <f t="array" ref="A7">SUM(B10:B26)</f>
      </c>
      <c r="B7" t="e">
        <f t="array" ref="B7">SUM(C10:C26)</f>
      </c>
      <c r="C7" t="e">
        <f t="array" ref="C7">SUM(D10:D26)</f>
      </c>
      <c r="D7" t="e">
        <f t="array" ref="D7">SUM(E10:E26)</f>
      </c>
      <c r="E7" t="e">
        <f t="array" ref="E7">SUM(F10:F26)</f>
      </c>
      <c r="F7" t="e">
        <f t="array" ref="F7">SUM(G10:G26)</f>
      </c>
      <c r="G7" t="e">
        <f t="array" ref="G7">SUM(H10:H26)</f>
      </c>
      <c r="H7" t="e">
        <f t="array" ref="H7">SUM(I10:I26)</f>
      </c>
      <c r="I7" t="e">
        <f t="array" ref="I7">SUM(J10:J26)</f>
      </c>
      <c r="J7" t="e">
        <f t="array" ref="J7">SUM(K10:K26)</f>
      </c>
      <c r="K7" t="e">
        <f t="array" ref="K7">SUM(L10:L26)</f>
      </c>
      <c r="L7" t="e">
        <f t="array" ref="L7">SUM(M10:M26)</f>
      </c>
      <c r="M7" t="e">
        <f t="array" ref="M7">SUM(N10:N26)</f>
      </c>
      <c r="N7" t="e">
        <f t="array" ref="N7">SUM(N10:N26) + SUM(M10:M26)</f>
      </c>
      <c r="O7" t="e">
        <f t="array" ref="O7">ROUND(SUM(M10:M26)/COUNTIF(A10:A26, "*"),0)</f>
      </c>
      <c r="P7" t="e">
        <f t="array" ref="P7">ROUND(SUM(N10:N26)/COUNTIF(A10:A26, "*"),0)</f>
      </c>
      <c r="Q7" t="e">
        <f t="array" ref="Q7">ROUND((SUM(M10:M26) + SUM(N10:N26))/COUNTIF(A10:A26, "*"),0)</f>
      </c>
      <c r="R7" t="e">
        <f t="array" ref="R7">COUNTIF(A10:A26, "*")</f>
      </c>
    </row>
    <row r="9">
      <c r="A9" t="str">
        <v>Date</v>
      </c>
      <c r="B9" t="str">
        <v>Charges</v>
      </c>
      <c r="C9" t="str">
        <v>Paid</v>
      </c>
      <c r="D9" t="str">
        <v>Cash</v>
      </c>
      <c r="E9" t="str">
        <v>UPI</v>
      </c>
      <c r="F9" t="str">
        <v>Transactions</v>
      </c>
      <c r="G9" t="str">
        <v>Cash Transactions</v>
      </c>
      <c r="H9" t="str">
        <v>UPI Transactions</v>
      </c>
      <c r="I9" t="str">
        <v>Discounts</v>
      </c>
      <c r="J9" t="str">
        <v>Free Transactions</v>
      </c>
      <c r="K9" t="str">
        <v>Male</v>
      </c>
      <c r="L9" t="str">
        <v>Female</v>
      </c>
      <c r="M9" t="str">
        <v>New Patients</v>
      </c>
      <c r="N9" t="str">
        <v>Existing Patients</v>
      </c>
      <c r="O9" t="str">
        <v>Total Patients</v>
      </c>
    </row>
    <row r="10">
      <c r="A10" t="e">
        <f>'Sat Mar 21 2026'!B4</f>
      </c>
      <c r="B10" t="e">
        <f>'Sat Mar 21 2026'!A7</f>
      </c>
      <c r="C10" t="e">
        <f>'Sat Mar 21 2026'!B7</f>
      </c>
      <c r="D10" t="e">
        <f>'Sat Mar 21 2026'!C7</f>
      </c>
      <c r="E10" t="e">
        <f>'Sat Mar 21 2026'!D7</f>
      </c>
      <c r="F10" t="e">
        <f>'Sat Mar 21 2026'!E7</f>
      </c>
      <c r="G10" t="e">
        <f>'Sat Mar 21 2026'!F7</f>
      </c>
      <c r="H10" t="e">
        <f>'Sat Mar 21 2026'!G7</f>
      </c>
      <c r="I10" t="e">
        <f>'Sat Mar 21 2026'!H7</f>
      </c>
      <c r="J10" t="e">
        <f>'Sat Mar 21 2026'!I7</f>
      </c>
      <c r="K10" t="e">
        <f>'Sat Mar 21 2026'!J7</f>
      </c>
      <c r="L10" t="e">
        <f>'Sat Mar 21 2026'!K7</f>
      </c>
      <c r="M10" t="e">
        <f>'Sat Mar 21 2026'!L7</f>
      </c>
      <c r="N10" t="e">
        <f>'Sat Mar 21 2026'!M7</f>
      </c>
      <c r="O10" t="e">
        <f>'Sat Mar 21 2026'!N7</f>
      </c>
    </row>
    <row r="11">
      <c r="A11" t="e">
        <f>'Fri Mar 20 2026'!B4</f>
      </c>
      <c r="B11" t="e">
        <f>'Fri Mar 20 2026'!A7</f>
      </c>
      <c r="C11" t="e">
        <f>'Fri Mar 20 2026'!B7</f>
      </c>
      <c r="D11" t="e">
        <f>'Fri Mar 20 2026'!C7</f>
      </c>
      <c r="E11" t="e">
        <f>'Fri Mar 20 2026'!D7</f>
      </c>
      <c r="F11" t="e">
        <f>'Fri Mar 20 2026'!E7</f>
      </c>
      <c r="G11" t="e">
        <f>'Fri Mar 20 2026'!F7</f>
      </c>
      <c r="H11" t="e">
        <f>'Fri Mar 20 2026'!G7</f>
      </c>
      <c r="I11" t="e">
        <f>'Fri Mar 20 2026'!H7</f>
      </c>
      <c r="J11" t="e">
        <f>'Fri Mar 20 2026'!I7</f>
      </c>
      <c r="K11" t="e">
        <f>'Fri Mar 20 2026'!J7</f>
      </c>
      <c r="L11" t="e">
        <f>'Fri Mar 20 2026'!K7</f>
      </c>
      <c r="M11" t="e">
        <f>'Fri Mar 20 2026'!L7</f>
      </c>
      <c r="N11" t="e">
        <f>'Fri Mar 20 2026'!M7</f>
      </c>
      <c r="O11" t="e">
        <f>'Fri Mar 20 2026'!N7</f>
      </c>
    </row>
    <row r="12">
      <c r="A12" t="e">
        <f>'Thu Mar 19 2026'!B4</f>
      </c>
      <c r="B12" t="e">
        <f>'Thu Mar 19 2026'!A7</f>
      </c>
      <c r="C12" t="e">
        <f>'Thu Mar 19 2026'!B7</f>
      </c>
      <c r="D12" t="e">
        <f>'Thu Mar 19 2026'!C7</f>
      </c>
      <c r="E12" t="e">
        <f>'Thu Mar 19 2026'!D7</f>
      </c>
      <c r="F12" t="e">
        <f>'Thu Mar 19 2026'!E7</f>
      </c>
      <c r="G12" t="e">
        <f>'Thu Mar 19 2026'!F7</f>
      </c>
      <c r="H12" t="e">
        <f>'Thu Mar 19 2026'!G7</f>
      </c>
      <c r="I12" t="e">
        <f>'Thu Mar 19 2026'!H7</f>
      </c>
      <c r="J12" t="e">
        <f>'Thu Mar 19 2026'!I7</f>
      </c>
      <c r="K12" t="e">
        <f>'Thu Mar 19 2026'!J7</f>
      </c>
      <c r="L12" t="e">
        <f>'Thu Mar 19 2026'!K7</f>
      </c>
      <c r="M12" t="e">
        <f>'Thu Mar 19 2026'!L7</f>
      </c>
      <c r="N12" t="e">
        <f>'Thu Mar 19 2026'!M7</f>
      </c>
      <c r="O12" t="e">
        <f>'Thu Mar 19 2026'!N7</f>
      </c>
    </row>
    <row r="13">
      <c r="A13" t="e">
        <f>'Wed Mar 18 2026'!B4</f>
      </c>
      <c r="B13" t="e">
        <f>'Wed Mar 18 2026'!A7</f>
      </c>
      <c r="C13" t="e">
        <f>'Wed Mar 18 2026'!B7</f>
      </c>
      <c r="D13" t="e">
        <f>'Wed Mar 18 2026'!C7</f>
      </c>
      <c r="E13" t="e">
        <f>'Wed Mar 18 2026'!D7</f>
      </c>
      <c r="F13" t="e">
        <f>'Wed Mar 18 2026'!E7</f>
      </c>
      <c r="G13" t="e">
        <f>'Wed Mar 18 2026'!F7</f>
      </c>
      <c r="H13" t="e">
        <f>'Wed Mar 18 2026'!G7</f>
      </c>
      <c r="I13" t="e">
        <f>'Wed Mar 18 2026'!H7</f>
      </c>
      <c r="J13" t="e">
        <f>'Wed Mar 18 2026'!I7</f>
      </c>
      <c r="K13" t="e">
        <f>'Wed Mar 18 2026'!J7</f>
      </c>
      <c r="L13" t="e">
        <f>'Wed Mar 18 2026'!K7</f>
      </c>
      <c r="M13" t="e">
        <f>'Wed Mar 18 2026'!L7</f>
      </c>
      <c r="N13" t="e">
        <f>'Wed Mar 18 2026'!M7</f>
      </c>
      <c r="O13" t="e">
        <f>'Wed Mar 18 2026'!N7</f>
      </c>
    </row>
    <row r="14">
      <c r="A14" t="e">
        <f>'Tue Mar 17 2026'!B4</f>
      </c>
      <c r="B14" t="e">
        <f>'Tue Mar 17 2026'!A7</f>
      </c>
      <c r="C14" t="e">
        <f>'Tue Mar 17 2026'!B7</f>
      </c>
      <c r="D14" t="e">
        <f>'Tue Mar 17 2026'!C7</f>
      </c>
      <c r="E14" t="e">
        <f>'Tue Mar 17 2026'!D7</f>
      </c>
      <c r="F14" t="e">
        <f>'Tue Mar 17 2026'!E7</f>
      </c>
      <c r="G14" t="e">
        <f>'Tue Mar 17 2026'!F7</f>
      </c>
      <c r="H14" t="e">
        <f>'Tue Mar 17 2026'!G7</f>
      </c>
      <c r="I14" t="e">
        <f>'Tue Mar 17 2026'!H7</f>
      </c>
      <c r="J14" t="e">
        <f>'Tue Mar 17 2026'!I7</f>
      </c>
      <c r="K14" t="e">
        <f>'Tue Mar 17 2026'!J7</f>
      </c>
      <c r="L14" t="e">
        <f>'Tue Mar 17 2026'!K7</f>
      </c>
      <c r="M14" t="e">
        <f>'Tue Mar 17 2026'!L7</f>
      </c>
      <c r="N14" t="e">
        <f>'Tue Mar 17 2026'!M7</f>
      </c>
      <c r="O14" t="e">
        <f>'Tue Mar 17 2026'!N7</f>
      </c>
    </row>
    <row r="15">
      <c r="A15" t="e">
        <f>'Mon Mar 16 2026'!B4</f>
      </c>
      <c r="B15" t="e">
        <f>'Mon Mar 16 2026'!A7</f>
      </c>
      <c r="C15" t="e">
        <f>'Mon Mar 16 2026'!B7</f>
      </c>
      <c r="D15" t="e">
        <f>'Mon Mar 16 2026'!C7</f>
      </c>
      <c r="E15" t="e">
        <f>'Mon Mar 16 2026'!D7</f>
      </c>
      <c r="F15" t="e">
        <f>'Mon Mar 16 2026'!E7</f>
      </c>
      <c r="G15" t="e">
        <f>'Mon Mar 16 2026'!F7</f>
      </c>
      <c r="H15" t="e">
        <f>'Mon Mar 16 2026'!G7</f>
      </c>
      <c r="I15" t="e">
        <f>'Mon Mar 16 2026'!H7</f>
      </c>
      <c r="J15" t="e">
        <f>'Mon Mar 16 2026'!I7</f>
      </c>
      <c r="K15" t="e">
        <f>'Mon Mar 16 2026'!J7</f>
      </c>
      <c r="L15" t="e">
        <f>'Mon Mar 16 2026'!K7</f>
      </c>
      <c r="M15" t="e">
        <f>'Mon Mar 16 2026'!L7</f>
      </c>
      <c r="N15" t="e">
        <f>'Mon Mar 16 2026'!M7</f>
      </c>
      <c r="O15" t="e">
        <f>'Mon Mar 16 2026'!N7</f>
      </c>
    </row>
    <row r="16">
      <c r="A16" t="e">
        <f>'Sat Mar 14 2026'!B4</f>
      </c>
      <c r="B16" t="e">
        <f>'Sat Mar 14 2026'!A7</f>
      </c>
      <c r="C16" t="e">
        <f>'Sat Mar 14 2026'!B7</f>
      </c>
      <c r="D16" t="e">
        <f>'Sat Mar 14 2026'!C7</f>
      </c>
      <c r="E16" t="e">
        <f>'Sat Mar 14 2026'!D7</f>
      </c>
      <c r="F16" t="e">
        <f>'Sat Mar 14 2026'!E7</f>
      </c>
      <c r="G16" t="e">
        <f>'Sat Mar 14 2026'!F7</f>
      </c>
      <c r="H16" t="e">
        <f>'Sat Mar 14 2026'!G7</f>
      </c>
      <c r="I16" t="e">
        <f>'Sat Mar 14 2026'!H7</f>
      </c>
      <c r="J16" t="e">
        <f>'Sat Mar 14 2026'!I7</f>
      </c>
      <c r="K16" t="e">
        <f>'Sat Mar 14 2026'!J7</f>
      </c>
      <c r="L16" t="e">
        <f>'Sat Mar 14 2026'!K7</f>
      </c>
      <c r="M16" t="e">
        <f>'Sat Mar 14 2026'!L7</f>
      </c>
      <c r="N16" t="e">
        <f>'Sat Mar 14 2026'!M7</f>
      </c>
      <c r="O16" t="e">
        <f>'Sat Mar 14 2026'!N7</f>
      </c>
    </row>
    <row r="17">
      <c r="A17" t="e">
        <f>'Fri Mar 13 2026'!B4</f>
      </c>
      <c r="B17" t="e">
        <f>'Fri Mar 13 2026'!A7</f>
      </c>
      <c r="C17" t="e">
        <f>'Fri Mar 13 2026'!B7</f>
      </c>
      <c r="D17" t="e">
        <f>'Fri Mar 13 2026'!C7</f>
      </c>
      <c r="E17" t="e">
        <f>'Fri Mar 13 2026'!D7</f>
      </c>
      <c r="F17" t="e">
        <f>'Fri Mar 13 2026'!E7</f>
      </c>
      <c r="G17" t="e">
        <f>'Fri Mar 13 2026'!F7</f>
      </c>
      <c r="H17" t="e">
        <f>'Fri Mar 13 2026'!G7</f>
      </c>
      <c r="I17" t="e">
        <f>'Fri Mar 13 2026'!H7</f>
      </c>
      <c r="J17" t="e">
        <f>'Fri Mar 13 2026'!I7</f>
      </c>
      <c r="K17" t="e">
        <f>'Fri Mar 13 2026'!J7</f>
      </c>
      <c r="L17" t="e">
        <f>'Fri Mar 13 2026'!K7</f>
      </c>
      <c r="M17" t="e">
        <f>'Fri Mar 13 2026'!L7</f>
      </c>
      <c r="N17" t="e">
        <f>'Fri Mar 13 2026'!M7</f>
      </c>
      <c r="O17" t="e">
        <f>'Fri Mar 13 2026'!N7</f>
      </c>
    </row>
    <row r="18">
      <c r="A18" t="e">
        <f>'Thu Mar 12 2026'!B4</f>
      </c>
      <c r="B18" t="e">
        <f>'Thu Mar 12 2026'!A7</f>
      </c>
      <c r="C18" t="e">
        <f>'Thu Mar 12 2026'!B7</f>
      </c>
      <c r="D18" t="e">
        <f>'Thu Mar 12 2026'!C7</f>
      </c>
      <c r="E18" t="e">
        <f>'Thu Mar 12 2026'!D7</f>
      </c>
      <c r="F18" t="e">
        <f>'Thu Mar 12 2026'!E7</f>
      </c>
      <c r="G18" t="e">
        <f>'Thu Mar 12 2026'!F7</f>
      </c>
      <c r="H18" t="e">
        <f>'Thu Mar 12 2026'!G7</f>
      </c>
      <c r="I18" t="e">
        <f>'Thu Mar 12 2026'!H7</f>
      </c>
      <c r="J18" t="e">
        <f>'Thu Mar 12 2026'!I7</f>
      </c>
      <c r="K18" t="e">
        <f>'Thu Mar 12 2026'!J7</f>
      </c>
      <c r="L18" t="e">
        <f>'Thu Mar 12 2026'!K7</f>
      </c>
      <c r="M18" t="e">
        <f>'Thu Mar 12 2026'!L7</f>
      </c>
      <c r="N18" t="e">
        <f>'Thu Mar 12 2026'!M7</f>
      </c>
      <c r="O18" t="e">
        <f>'Thu Mar 12 2026'!N7</f>
      </c>
    </row>
    <row r="19">
      <c r="A19" t="e">
        <f>'Wed Mar 11 2026'!B4</f>
      </c>
      <c r="B19" t="e">
        <f>'Wed Mar 11 2026'!A7</f>
      </c>
      <c r="C19" t="e">
        <f>'Wed Mar 11 2026'!B7</f>
      </c>
      <c r="D19" t="e">
        <f>'Wed Mar 11 2026'!C7</f>
      </c>
      <c r="E19" t="e">
        <f>'Wed Mar 11 2026'!D7</f>
      </c>
      <c r="F19" t="e">
        <f>'Wed Mar 11 2026'!E7</f>
      </c>
      <c r="G19" t="e">
        <f>'Wed Mar 11 2026'!F7</f>
      </c>
      <c r="H19" t="e">
        <f>'Wed Mar 11 2026'!G7</f>
      </c>
      <c r="I19" t="e">
        <f>'Wed Mar 11 2026'!H7</f>
      </c>
      <c r="J19" t="e">
        <f>'Wed Mar 11 2026'!I7</f>
      </c>
      <c r="K19" t="e">
        <f>'Wed Mar 11 2026'!J7</f>
      </c>
      <c r="L19" t="e">
        <f>'Wed Mar 11 2026'!K7</f>
      </c>
      <c r="M19" t="e">
        <f>'Wed Mar 11 2026'!L7</f>
      </c>
      <c r="N19" t="e">
        <f>'Wed Mar 11 2026'!M7</f>
      </c>
      <c r="O19" t="e">
        <f>'Wed Mar 11 2026'!N7</f>
      </c>
    </row>
    <row r="20">
      <c r="A20" t="e">
        <f>'Tue Mar 10 2026'!B4</f>
      </c>
      <c r="B20" t="e">
        <f>'Tue Mar 10 2026'!A7</f>
      </c>
      <c r="C20" t="e">
        <f>'Tue Mar 10 2026'!B7</f>
      </c>
      <c r="D20" t="e">
        <f>'Tue Mar 10 2026'!C7</f>
      </c>
      <c r="E20" t="e">
        <f>'Tue Mar 10 2026'!D7</f>
      </c>
      <c r="F20" t="e">
        <f>'Tue Mar 10 2026'!E7</f>
      </c>
      <c r="G20" t="e">
        <f>'Tue Mar 10 2026'!F7</f>
      </c>
      <c r="H20" t="e">
        <f>'Tue Mar 10 2026'!G7</f>
      </c>
      <c r="I20" t="e">
        <f>'Tue Mar 10 2026'!H7</f>
      </c>
      <c r="J20" t="e">
        <f>'Tue Mar 10 2026'!I7</f>
      </c>
      <c r="K20" t="e">
        <f>'Tue Mar 10 2026'!J7</f>
      </c>
      <c r="L20" t="e">
        <f>'Tue Mar 10 2026'!K7</f>
      </c>
      <c r="M20" t="e">
        <f>'Tue Mar 10 2026'!L7</f>
      </c>
      <c r="N20" t="e">
        <f>'Tue Mar 10 2026'!M7</f>
      </c>
      <c r="O20" t="e">
        <f>'Tue Mar 10 2026'!N7</f>
      </c>
    </row>
    <row r="21">
      <c r="A21" t="e">
        <f>'Mon Mar 09 2026'!B4</f>
      </c>
      <c r="B21" t="e">
        <f>'Mon Mar 09 2026'!A7</f>
      </c>
      <c r="C21" t="e">
        <f>'Mon Mar 09 2026'!B7</f>
      </c>
      <c r="D21" t="e">
        <f>'Mon Mar 09 2026'!C7</f>
      </c>
      <c r="E21" t="e">
        <f>'Mon Mar 09 2026'!D7</f>
      </c>
      <c r="F21" t="e">
        <f>'Mon Mar 09 2026'!E7</f>
      </c>
      <c r="G21" t="e">
        <f>'Mon Mar 09 2026'!F7</f>
      </c>
      <c r="H21" t="e">
        <f>'Mon Mar 09 2026'!G7</f>
      </c>
      <c r="I21" t="e">
        <f>'Mon Mar 09 2026'!H7</f>
      </c>
      <c r="J21" t="e">
        <f>'Mon Mar 09 2026'!I7</f>
      </c>
      <c r="K21" t="e">
        <f>'Mon Mar 09 2026'!J7</f>
      </c>
      <c r="L21" t="e">
        <f>'Mon Mar 09 2026'!K7</f>
      </c>
      <c r="M21" t="e">
        <f>'Mon Mar 09 2026'!L7</f>
      </c>
      <c r="N21" t="e">
        <f>'Mon Mar 09 2026'!M7</f>
      </c>
      <c r="O21" t="e">
        <f>'Mon Mar 09 2026'!N7</f>
      </c>
    </row>
    <row r="22">
      <c r="A22" t="e">
        <f>'Sat Mar 07 2026'!B4</f>
      </c>
      <c r="B22" t="e">
        <f>'Sat Mar 07 2026'!A7</f>
      </c>
      <c r="C22" t="e">
        <f>'Sat Mar 07 2026'!B7</f>
      </c>
      <c r="D22" t="e">
        <f>'Sat Mar 07 2026'!C7</f>
      </c>
      <c r="E22" t="e">
        <f>'Sat Mar 07 2026'!D7</f>
      </c>
      <c r="F22" t="e">
        <f>'Sat Mar 07 2026'!E7</f>
      </c>
      <c r="G22" t="e">
        <f>'Sat Mar 07 2026'!F7</f>
      </c>
      <c r="H22" t="e">
        <f>'Sat Mar 07 2026'!G7</f>
      </c>
      <c r="I22" t="e">
        <f>'Sat Mar 07 2026'!H7</f>
      </c>
      <c r="J22" t="e">
        <f>'Sat Mar 07 2026'!I7</f>
      </c>
      <c r="K22" t="e">
        <f>'Sat Mar 07 2026'!J7</f>
      </c>
      <c r="L22" t="e">
        <f>'Sat Mar 07 2026'!K7</f>
      </c>
      <c r="M22" t="e">
        <f>'Sat Mar 07 2026'!L7</f>
      </c>
      <c r="N22" t="e">
        <f>'Sat Mar 07 2026'!M7</f>
      </c>
      <c r="O22" t="e">
        <f>'Sat Mar 07 2026'!N7</f>
      </c>
    </row>
    <row r="23">
      <c r="A23" t="e">
        <f>'Fri Mar 06 2026'!B4</f>
      </c>
      <c r="B23" t="e">
        <f>'Fri Mar 06 2026'!A7</f>
      </c>
      <c r="C23" t="e">
        <f>'Fri Mar 06 2026'!B7</f>
      </c>
      <c r="D23" t="e">
        <f>'Fri Mar 06 2026'!C7</f>
      </c>
      <c r="E23" t="e">
        <f>'Fri Mar 06 2026'!D7</f>
      </c>
      <c r="F23" t="e">
        <f>'Fri Mar 06 2026'!E7</f>
      </c>
      <c r="G23" t="e">
        <f>'Fri Mar 06 2026'!F7</f>
      </c>
      <c r="H23" t="e">
        <f>'Fri Mar 06 2026'!G7</f>
      </c>
      <c r="I23" t="e">
        <f>'Fri Mar 06 2026'!H7</f>
      </c>
      <c r="J23" t="e">
        <f>'Fri Mar 06 2026'!I7</f>
      </c>
      <c r="K23" t="e">
        <f>'Fri Mar 06 2026'!J7</f>
      </c>
      <c r="L23" t="e">
        <f>'Fri Mar 06 2026'!K7</f>
      </c>
      <c r="M23" t="e">
        <f>'Fri Mar 06 2026'!L7</f>
      </c>
      <c r="N23" t="e">
        <f>'Fri Mar 06 2026'!M7</f>
      </c>
      <c r="O23" t="e">
        <f>'Fri Mar 06 2026'!N7</f>
      </c>
    </row>
    <row r="24">
      <c r="A24" t="e">
        <f>'Thu Mar 05 2026'!B4</f>
      </c>
      <c r="B24" t="e">
        <f>'Thu Mar 05 2026'!A7</f>
      </c>
      <c r="C24" t="e">
        <f>'Thu Mar 05 2026'!B7</f>
      </c>
      <c r="D24" t="e">
        <f>'Thu Mar 05 2026'!C7</f>
      </c>
      <c r="E24" t="e">
        <f>'Thu Mar 05 2026'!D7</f>
      </c>
      <c r="F24" t="e">
        <f>'Thu Mar 05 2026'!E7</f>
      </c>
      <c r="G24" t="e">
        <f>'Thu Mar 05 2026'!F7</f>
      </c>
      <c r="H24" t="e">
        <f>'Thu Mar 05 2026'!G7</f>
      </c>
      <c r="I24" t="e">
        <f>'Thu Mar 05 2026'!H7</f>
      </c>
      <c r="J24" t="e">
        <f>'Thu Mar 05 2026'!I7</f>
      </c>
      <c r="K24" t="e">
        <f>'Thu Mar 05 2026'!J7</f>
      </c>
      <c r="L24" t="e">
        <f>'Thu Mar 05 2026'!K7</f>
      </c>
      <c r="M24" t="e">
        <f>'Thu Mar 05 2026'!L7</f>
      </c>
      <c r="N24" t="e">
        <f>'Thu Mar 05 2026'!M7</f>
      </c>
      <c r="O24" t="e">
        <f>'Thu Mar 05 2026'!N7</f>
      </c>
    </row>
    <row r="25">
      <c r="A25" t="e">
        <f>'Tue Mar 03 2026'!B4</f>
      </c>
      <c r="B25" t="e">
        <f>'Tue Mar 03 2026'!A7</f>
      </c>
      <c r="C25" t="e">
        <f>'Tue Mar 03 2026'!B7</f>
      </c>
      <c r="D25" t="e">
        <f>'Tue Mar 03 2026'!C7</f>
      </c>
      <c r="E25" t="e">
        <f>'Tue Mar 03 2026'!D7</f>
      </c>
      <c r="F25" t="e">
        <f>'Tue Mar 03 2026'!E7</f>
      </c>
      <c r="G25" t="e">
        <f>'Tue Mar 03 2026'!F7</f>
      </c>
      <c r="H25" t="e">
        <f>'Tue Mar 03 2026'!G7</f>
      </c>
      <c r="I25" t="e">
        <f>'Tue Mar 03 2026'!H7</f>
      </c>
      <c r="J25" t="e">
        <f>'Tue Mar 03 2026'!I7</f>
      </c>
      <c r="K25" t="e">
        <f>'Tue Mar 03 2026'!J7</f>
      </c>
      <c r="L25" t="e">
        <f>'Tue Mar 03 2026'!K7</f>
      </c>
      <c r="M25" t="e">
        <f>'Tue Mar 03 2026'!L7</f>
      </c>
      <c r="N25" t="e">
        <f>'Tue Mar 03 2026'!M7</f>
      </c>
      <c r="O25" t="e">
        <f>'Tue Mar 03 2026'!N7</f>
      </c>
    </row>
    <row r="26">
      <c r="A26" t="e">
        <f>'Mon Mar 02 2026'!B4</f>
      </c>
      <c r="B26" t="e">
        <f>'Mon Mar 02 2026'!A7</f>
      </c>
      <c r="C26" t="e">
        <f>'Mon Mar 02 2026'!B7</f>
      </c>
      <c r="D26" t="e">
        <f>'Mon Mar 02 2026'!C7</f>
      </c>
      <c r="E26" t="e">
        <f>'Mon Mar 02 2026'!D7</f>
      </c>
      <c r="F26" t="e">
        <f>'Mon Mar 02 2026'!E7</f>
      </c>
      <c r="G26" t="e">
        <f>'Mon Mar 02 2026'!F7</f>
      </c>
      <c r="H26" t="e">
        <f>'Mon Mar 02 2026'!G7</f>
      </c>
      <c r="I26" t="e">
        <f>'Mon Mar 02 2026'!H7</f>
      </c>
      <c r="J26" t="e">
        <f>'Mon Mar 02 2026'!I7</f>
      </c>
      <c r="K26" t="e">
        <f>'Mon Mar 02 2026'!J7</f>
      </c>
      <c r="L26" t="e">
        <f>'Mon Mar 02 2026'!K7</f>
      </c>
      <c r="M26" t="e">
        <f>'Mon Mar 02 2026'!L7</f>
      </c>
      <c r="N26" t="e">
        <f>'Mon Mar 02 2026'!M7</f>
      </c>
      <c r="O26" t="e">
        <f>'Mon Mar 02 2026'!N7</f>
      </c>
    </row>
  </sheetData>
  <ignoredErrors>
    <ignoredError numberStoredAsText="1" sqref="A1:S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4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Sat Mar 21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SUM(D10:D64)</f>
      </c>
      <c r="B7" t="e">
        <f t="array" ref="B7">SUM(E10:E64)</f>
      </c>
      <c r="C7" t="e">
        <f t="array" ref="C7">SUMIF(G10:G64, "Cash", E10:E64)</f>
      </c>
      <c r="D7" t="e">
        <f t="array" ref="D7">SUMIF(G10:G64, "UPI", E10:E64)</f>
      </c>
      <c r="E7" t="e">
        <f t="array" ref="E7">COUNTA(G10:G64)</f>
      </c>
      <c r="F7" t="e">
        <f t="array" ref="F7">COUNTIF(G10:G64, "Cash")</f>
      </c>
      <c r="G7" t="e">
        <f t="array" ref="G7">COUNTIF(G10:G64, "UPI")</f>
      </c>
      <c r="H7" t="e">
        <f t="array" ref="H7">SUM(F10:F64)</f>
      </c>
      <c r="I7" t="e">
        <f t="array" ref="I7">COUNT(FILTER(F10:F64, F10:F64=D10:D64))</f>
      </c>
      <c r="J7" t="e">
        <f t="array" ref="J7">IFERROR(ROWS(UNIQUE(FILTER(A10:A64,C10:C64="Male"))),0)</f>
      </c>
      <c r="K7" t="e">
        <f t="array" ref="K7">IFERROR(ROWS(UNIQUE(FILTER(A10:A64,C10:C64="Female"))),0)</f>
      </c>
      <c r="L7" t="e">
        <f t="array" ref="L7">IFERROR(ROWS(UNIQUE(FILTER(A10:A64,H10:H64=I10))),0)</f>
      </c>
      <c r="M7" t="e">
        <f t="array" ref="M7">IFERROR(ROWS(UNIQUE(FILTER(A10:A64,H10:H64&lt;&gt;I10))),0)</f>
      </c>
      <c r="N7" t="e">
        <f t="array" ref="N7">IFERROR(ROWS(UNIQUE(A10:A64)),0)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2726</v>
      </c>
      <c r="B10" t="str">
        <v>Gayan Singh pal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Tue Mar 17 2026</v>
      </c>
      <c r="I10" t="str">
        <v>Sat Mar 21 2026</v>
      </c>
    </row>
    <row r="11">
      <c r="A11">
        <v>2748</v>
      </c>
      <c r="B11" t="str">
        <v>Govind singh Dodiya</v>
      </c>
      <c r="C11" t="str">
        <v>Male</v>
      </c>
      <c r="D11">
        <v>50</v>
      </c>
      <c r="E11">
        <v>50</v>
      </c>
      <c r="F11">
        <v>0</v>
      </c>
      <c r="G11" t="str">
        <v>UPI</v>
      </c>
      <c r="H11" t="str">
        <v>Thu Mar 19 2026</v>
      </c>
      <c r="I11" t="str">
        <v>Sat Mar 21 2026</v>
      </c>
    </row>
    <row r="12">
      <c r="A12">
        <v>2737</v>
      </c>
      <c r="B12" t="str">
        <v>Kailash soni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Wed Mar 18 2026</v>
      </c>
      <c r="I12" t="str">
        <v>Sat Mar 21 2026</v>
      </c>
    </row>
    <row r="13">
      <c r="A13">
        <v>2729</v>
      </c>
      <c r="B13" t="str">
        <v>Madanlal Aerwal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Tue Mar 17 2026</v>
      </c>
      <c r="I13" t="str">
        <v>Sat Mar 21 2026</v>
      </c>
    </row>
    <row r="14">
      <c r="A14">
        <v>2451</v>
      </c>
      <c r="B14" t="str">
        <v xml:space="preserve">Prakash Joshi 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Feb 09 2026</v>
      </c>
      <c r="I14" t="str">
        <v>Sat Mar 21 2026</v>
      </c>
    </row>
    <row r="15">
      <c r="A15">
        <v>2544</v>
      </c>
      <c r="B15" t="str">
        <v>Nitin singh</v>
      </c>
      <c r="C15" t="str">
        <v>Male</v>
      </c>
      <c r="D15">
        <v>50</v>
      </c>
      <c r="E15">
        <v>50</v>
      </c>
      <c r="F15">
        <v>0</v>
      </c>
      <c r="G15" t="str">
        <v>Cash</v>
      </c>
      <c r="H15" t="str">
        <v>Mon Feb 23 2026</v>
      </c>
      <c r="I15" t="str">
        <v>Sat Mar 21 2026</v>
      </c>
    </row>
    <row r="16">
      <c r="A16">
        <v>2678</v>
      </c>
      <c r="B16" t="str">
        <v>Mangesh Rai</v>
      </c>
      <c r="C16" t="str">
        <v>Male</v>
      </c>
      <c r="D16">
        <v>50</v>
      </c>
      <c r="E16">
        <v>50</v>
      </c>
      <c r="F16">
        <v>0</v>
      </c>
      <c r="G16" t="str">
        <v>Cash</v>
      </c>
      <c r="H16" t="str">
        <v>Tue Mar 10 2026</v>
      </c>
      <c r="I16" t="str">
        <v>Sat Mar 21 2026</v>
      </c>
    </row>
    <row r="17">
      <c r="A17">
        <v>2722</v>
      </c>
      <c r="B17" t="str">
        <v xml:space="preserve">Manju Chodhary </v>
      </c>
      <c r="C17" t="str">
        <v>Female</v>
      </c>
      <c r="D17">
        <v>50</v>
      </c>
      <c r="E17">
        <v>50</v>
      </c>
      <c r="F17">
        <v>0</v>
      </c>
      <c r="G17" t="str">
        <v>Cash</v>
      </c>
      <c r="H17" t="str">
        <v>Mon Mar 16 2026</v>
      </c>
      <c r="I17" t="str">
        <v>Sat Mar 21 2026</v>
      </c>
    </row>
    <row r="18">
      <c r="A18">
        <v>2496</v>
      </c>
      <c r="B18" t="str">
        <v xml:space="preserve">Urmila Sharma </v>
      </c>
      <c r="C18" t="str">
        <v>Female</v>
      </c>
      <c r="D18">
        <v>50</v>
      </c>
      <c r="E18">
        <v>50</v>
      </c>
      <c r="F18">
        <v>0</v>
      </c>
      <c r="G18" t="str">
        <v>Cash</v>
      </c>
      <c r="H18" t="str">
        <v>Sat Feb 14 2026</v>
      </c>
      <c r="I18" t="str">
        <v>Sat Mar 21 2026</v>
      </c>
    </row>
    <row r="19">
      <c r="A19">
        <v>2115</v>
      </c>
      <c r="B19" t="str">
        <v>Harish Halabe</v>
      </c>
      <c r="C19" t="str">
        <v>Male</v>
      </c>
      <c r="D19">
        <v>50</v>
      </c>
      <c r="E19">
        <v>50</v>
      </c>
      <c r="F19">
        <v>0</v>
      </c>
      <c r="G19" t="str">
        <v>Cash</v>
      </c>
      <c r="H19" t="str">
        <v>Thu Dec 25 2025</v>
      </c>
      <c r="I19" t="str">
        <v>Sat Mar 21 2026</v>
      </c>
    </row>
    <row r="20">
      <c r="A20">
        <v>2686</v>
      </c>
      <c r="B20" t="str">
        <v xml:space="preserve">Devilal Kasera 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Thu Mar 12 2026</v>
      </c>
      <c r="I20" t="str">
        <v>Sat Mar 21 2026</v>
      </c>
    </row>
    <row r="21">
      <c r="A21">
        <v>2471</v>
      </c>
      <c r="B21" t="str">
        <v>Ashwini Gundigawkar</v>
      </c>
      <c r="C21" t="str">
        <v>Female</v>
      </c>
      <c r="D21">
        <v>50</v>
      </c>
      <c r="E21">
        <v>50</v>
      </c>
      <c r="F21">
        <v>0</v>
      </c>
      <c r="G21" t="str">
        <v>Cash</v>
      </c>
      <c r="H21" t="str">
        <v>Wed Feb 11 2026</v>
      </c>
      <c r="I21" t="str">
        <v>Sat Mar 21 2026</v>
      </c>
    </row>
    <row r="22">
      <c r="A22">
        <v>2756</v>
      </c>
      <c r="B22" t="str">
        <v>Anuradha Joshi</v>
      </c>
      <c r="C22" t="str">
        <v>Female</v>
      </c>
      <c r="D22">
        <v>130</v>
      </c>
      <c r="E22">
        <v>130</v>
      </c>
      <c r="F22">
        <v>0</v>
      </c>
      <c r="G22" t="str">
        <v>Cash</v>
      </c>
      <c r="H22" t="str">
        <v>Sat Mar 21 2026</v>
      </c>
      <c r="I22" t="str">
        <v>Sat Mar 21 2026</v>
      </c>
    </row>
    <row r="23">
      <c r="A23">
        <v>2652</v>
      </c>
      <c r="B23" t="str">
        <v xml:space="preserve">Ganesh Patel </v>
      </c>
      <c r="C23" t="str">
        <v>Male</v>
      </c>
      <c r="D23">
        <v>50</v>
      </c>
      <c r="E23">
        <v>50</v>
      </c>
      <c r="F23">
        <v>0</v>
      </c>
      <c r="G23" t="str">
        <v>Cash</v>
      </c>
      <c r="H23" t="str">
        <v>Sat Mar 07 2026</v>
      </c>
      <c r="I23" t="str">
        <v>Sat Mar 21 2026</v>
      </c>
    </row>
    <row r="24">
      <c r="A24">
        <v>2697</v>
      </c>
      <c r="B24" t="str">
        <v xml:space="preserve">Sheetal Kushwaha </v>
      </c>
      <c r="C24" t="str">
        <v>Female</v>
      </c>
      <c r="D24">
        <v>50</v>
      </c>
      <c r="E24">
        <v>50</v>
      </c>
      <c r="F24">
        <v>0</v>
      </c>
      <c r="G24" t="str">
        <v>Cash</v>
      </c>
      <c r="H24" t="str">
        <v>Fri Mar 13 2026</v>
      </c>
      <c r="I24" t="str">
        <v>Sat Mar 21 2026</v>
      </c>
    </row>
    <row r="25">
      <c r="A25">
        <v>2624</v>
      </c>
      <c r="B25" t="str">
        <v xml:space="preserve">Mukesh Chauhan </v>
      </c>
      <c r="C25" t="str">
        <v>Male</v>
      </c>
      <c r="D25">
        <v>50</v>
      </c>
      <c r="E25">
        <v>50</v>
      </c>
      <c r="F25">
        <v>0</v>
      </c>
      <c r="G25" t="str">
        <v>UPI</v>
      </c>
      <c r="H25" t="str">
        <v>Thu Mar 05 2026</v>
      </c>
      <c r="I25" t="str">
        <v>Sat Mar 21 2026</v>
      </c>
    </row>
    <row r="26">
      <c r="A26">
        <v>2757</v>
      </c>
      <c r="B26" t="str">
        <v>Gajendra singh</v>
      </c>
      <c r="C26" t="str">
        <v>Male</v>
      </c>
      <c r="D26">
        <v>110</v>
      </c>
      <c r="E26">
        <v>110</v>
      </c>
      <c r="F26">
        <v>0</v>
      </c>
      <c r="G26" t="str">
        <v>Cash</v>
      </c>
      <c r="H26" t="str">
        <v>Sat Mar 21 2026</v>
      </c>
      <c r="I26" t="str">
        <v>Sat Mar 21 2026</v>
      </c>
    </row>
    <row r="27">
      <c r="A27">
        <v>2720</v>
      </c>
      <c r="B27" t="str">
        <v>Rajesh Sankhla</v>
      </c>
      <c r="C27" t="str">
        <v>Male</v>
      </c>
      <c r="D27">
        <v>50</v>
      </c>
      <c r="E27">
        <v>50</v>
      </c>
      <c r="F27">
        <v>0</v>
      </c>
      <c r="G27" t="str">
        <v>Cash</v>
      </c>
      <c r="H27" t="str">
        <v>Mon Mar 16 2026</v>
      </c>
      <c r="I27" t="str">
        <v>Sat Mar 21 2026</v>
      </c>
    </row>
    <row r="28">
      <c r="A28">
        <v>2705</v>
      </c>
      <c r="B28" t="str">
        <v>Phoolbai thariya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Sat Mar 14 2026</v>
      </c>
      <c r="I28" t="str">
        <v>Sat Mar 21 2026</v>
      </c>
    </row>
    <row r="29">
      <c r="A29">
        <v>2758</v>
      </c>
      <c r="B29" t="str">
        <v>Megha yadav</v>
      </c>
      <c r="C29" t="str">
        <v>Female</v>
      </c>
      <c r="D29">
        <v>110</v>
      </c>
      <c r="E29">
        <v>110</v>
      </c>
      <c r="F29">
        <v>0</v>
      </c>
      <c r="G29" t="str">
        <v>Cash</v>
      </c>
      <c r="H29" t="str">
        <v>Sat Mar 21 2026</v>
      </c>
      <c r="I29" t="str">
        <v>Sat Mar 21 2026</v>
      </c>
    </row>
    <row r="30">
      <c r="A30">
        <v>2689</v>
      </c>
      <c r="B30" t="str">
        <v xml:space="preserve">Mamta Namdev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Thu Mar 12 2026</v>
      </c>
      <c r="I30" t="str">
        <v>Sat Mar 21 2026</v>
      </c>
    </row>
    <row r="31">
      <c r="A31">
        <v>2452</v>
      </c>
      <c r="B31" t="str">
        <v xml:space="preserve">B. S. Rajput </v>
      </c>
      <c r="C31" t="str">
        <v>Male</v>
      </c>
      <c r="D31">
        <v>50</v>
      </c>
      <c r="E31">
        <v>50</v>
      </c>
      <c r="F31">
        <v>0</v>
      </c>
      <c r="G31" t="str">
        <v>UPI</v>
      </c>
      <c r="H31" t="str">
        <v>Mon Feb 09 2026</v>
      </c>
      <c r="I31" t="str">
        <v>Sat Mar 21 2026</v>
      </c>
    </row>
    <row r="32">
      <c r="A32">
        <v>2759</v>
      </c>
      <c r="B32" t="str">
        <v xml:space="preserve">Miss Anjali </v>
      </c>
      <c r="C32" t="str">
        <v>Female</v>
      </c>
      <c r="D32">
        <v>110</v>
      </c>
      <c r="E32">
        <v>110</v>
      </c>
      <c r="F32">
        <v>0</v>
      </c>
      <c r="G32" t="str">
        <v>Cash</v>
      </c>
      <c r="H32" t="str">
        <v>Sat Mar 21 2026</v>
      </c>
      <c r="I32" t="str">
        <v>Sat Mar 21 2026</v>
      </c>
    </row>
    <row r="33">
      <c r="A33">
        <v>2742</v>
      </c>
      <c r="B33" t="str">
        <v xml:space="preserve">Pinky goswami </v>
      </c>
      <c r="C33" t="str">
        <v>Female</v>
      </c>
      <c r="D33">
        <v>70</v>
      </c>
      <c r="E33">
        <v>70</v>
      </c>
      <c r="F33">
        <v>0</v>
      </c>
      <c r="G33" t="str">
        <v>UPI</v>
      </c>
      <c r="H33" t="str">
        <v>Wed Mar 18 2026</v>
      </c>
      <c r="I33" t="str">
        <v>Sat Mar 21 2026</v>
      </c>
    </row>
    <row r="34">
      <c r="A34">
        <v>2754</v>
      </c>
      <c r="B34" t="str">
        <v>Sangeeta Jain</v>
      </c>
      <c r="C34" t="str">
        <v>Female</v>
      </c>
      <c r="D34">
        <v>50</v>
      </c>
      <c r="E34">
        <v>50</v>
      </c>
      <c r="F34">
        <v>0</v>
      </c>
      <c r="G34" t="str">
        <v>Cash</v>
      </c>
      <c r="H34" t="str">
        <v>Fri Mar 20 2026</v>
      </c>
      <c r="I34" t="str">
        <v>Sat Mar 21 2026</v>
      </c>
    </row>
    <row r="35">
      <c r="A35">
        <v>2760</v>
      </c>
      <c r="B35" t="str">
        <v xml:space="preserve">Ankita </v>
      </c>
      <c r="C35" t="str">
        <v>Female</v>
      </c>
      <c r="D35">
        <v>110</v>
      </c>
      <c r="E35">
        <v>110</v>
      </c>
      <c r="F35">
        <v>0</v>
      </c>
      <c r="G35" t="str">
        <v>UPI</v>
      </c>
      <c r="H35" t="str">
        <v>Sat Mar 21 2026</v>
      </c>
      <c r="I35" t="str">
        <v>Sat Mar 21 2026</v>
      </c>
    </row>
    <row r="36">
      <c r="A36">
        <v>2676</v>
      </c>
      <c r="B36" t="str">
        <v xml:space="preserve">Savita Soni </v>
      </c>
      <c r="C36" t="str">
        <v>Female</v>
      </c>
      <c r="D36">
        <v>50</v>
      </c>
      <c r="E36">
        <v>50</v>
      </c>
      <c r="F36">
        <v>0</v>
      </c>
      <c r="G36" t="str">
        <v>Cash</v>
      </c>
      <c r="H36" t="str">
        <v>Tue Mar 10 2026</v>
      </c>
      <c r="I36" t="str">
        <v>Sat Mar 21 2026</v>
      </c>
    </row>
    <row r="37">
      <c r="A37">
        <v>2755</v>
      </c>
      <c r="B37" t="str">
        <v xml:space="preserve">Manisha Shukla </v>
      </c>
      <c r="C37" t="str">
        <v>Female</v>
      </c>
      <c r="D37">
        <v>50</v>
      </c>
      <c r="E37">
        <v>50</v>
      </c>
      <c r="F37">
        <v>0</v>
      </c>
      <c r="G37" t="str">
        <v>Cash</v>
      </c>
      <c r="H37" t="str">
        <v>Fri Mar 20 2026</v>
      </c>
      <c r="I37" t="str">
        <v>Sat Mar 21 2026</v>
      </c>
    </row>
    <row r="38">
      <c r="A38">
        <v>2731</v>
      </c>
      <c r="B38" t="str">
        <v xml:space="preserve">Shobha Gupta </v>
      </c>
      <c r="C38" t="str">
        <v>Female</v>
      </c>
      <c r="D38">
        <v>50</v>
      </c>
      <c r="E38">
        <v>50</v>
      </c>
      <c r="F38">
        <v>0</v>
      </c>
      <c r="G38" t="str">
        <v>UPI</v>
      </c>
      <c r="H38" t="str">
        <v>Tue Mar 17 2026</v>
      </c>
      <c r="I38" t="str">
        <v>Sat Mar 21 2026</v>
      </c>
    </row>
    <row r="39">
      <c r="A39">
        <v>2584</v>
      </c>
      <c r="B39" t="str">
        <v xml:space="preserve">Lokesh Raghuvanshi </v>
      </c>
      <c r="C39" t="str">
        <v>Male</v>
      </c>
      <c r="D39">
        <v>70</v>
      </c>
      <c r="E39">
        <v>70</v>
      </c>
      <c r="F39">
        <v>0</v>
      </c>
      <c r="G39" t="str">
        <v>UPI</v>
      </c>
      <c r="H39" t="str">
        <v>Thu Feb 26 2026</v>
      </c>
      <c r="I39" t="str">
        <v>Sat Mar 21 2026</v>
      </c>
    </row>
    <row r="40">
      <c r="A40">
        <v>2718</v>
      </c>
      <c r="B40" t="str">
        <v>Rajesh Jain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Mon Mar 16 2026</v>
      </c>
      <c r="I40" t="str">
        <v>Sat Mar 21 2026</v>
      </c>
    </row>
    <row r="41">
      <c r="A41">
        <v>2305</v>
      </c>
      <c r="B41" t="str">
        <v xml:space="preserve">Mahendra Varma </v>
      </c>
      <c r="C41" t="str">
        <v>Male</v>
      </c>
      <c r="D41">
        <v>100</v>
      </c>
      <c r="E41">
        <v>100</v>
      </c>
      <c r="F41">
        <v>0</v>
      </c>
      <c r="G41" t="str">
        <v>Cash</v>
      </c>
      <c r="H41" t="str">
        <v>Thu Jan 22 2026</v>
      </c>
      <c r="I41" t="str">
        <v>Sat Mar 21 2026</v>
      </c>
    </row>
    <row r="42">
      <c r="A42">
        <v>2687</v>
      </c>
      <c r="B42" t="str">
        <v xml:space="preserve">Hempushpa Chouhan 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Thu Mar 12 2026</v>
      </c>
      <c r="I42" t="str">
        <v>Sat Mar 21 2026</v>
      </c>
    </row>
    <row r="43">
      <c r="A43">
        <v>2666</v>
      </c>
      <c r="B43" t="str">
        <v>Bharti Bhomik</v>
      </c>
      <c r="C43" t="str">
        <v>Female</v>
      </c>
      <c r="D43">
        <v>70</v>
      </c>
      <c r="E43">
        <v>70</v>
      </c>
      <c r="F43">
        <v>0</v>
      </c>
      <c r="G43" t="str">
        <v>Cash</v>
      </c>
      <c r="H43" t="str">
        <v>Mon Mar 09 2026</v>
      </c>
      <c r="I43" t="str">
        <v>Sat Mar 21 2026</v>
      </c>
    </row>
    <row r="44">
      <c r="A44">
        <v>2695</v>
      </c>
      <c r="B44" t="str">
        <v xml:space="preserve">Kaladevi Sharma </v>
      </c>
      <c r="C44" t="str">
        <v>Female</v>
      </c>
      <c r="D44">
        <v>50</v>
      </c>
      <c r="E44">
        <v>50</v>
      </c>
      <c r="F44">
        <v>0</v>
      </c>
      <c r="G44" t="str">
        <v>Cash</v>
      </c>
      <c r="H44" t="str">
        <v>Fri Mar 13 2026</v>
      </c>
      <c r="I44" t="str">
        <v>Sat Mar 21 2026</v>
      </c>
    </row>
    <row r="45">
      <c r="A45">
        <v>2747</v>
      </c>
      <c r="B45" t="str">
        <v>Subhash Patra</v>
      </c>
      <c r="C45" t="str">
        <v>Male</v>
      </c>
      <c r="D45">
        <v>50</v>
      </c>
      <c r="E45">
        <v>50</v>
      </c>
      <c r="F45">
        <v>0</v>
      </c>
      <c r="G45" t="str">
        <v>UPI</v>
      </c>
      <c r="H45" t="str">
        <v>Wed Mar 18 2026</v>
      </c>
      <c r="I45" t="str">
        <v>Sat Mar 21 2026</v>
      </c>
    </row>
    <row r="46">
      <c r="A46">
        <v>2633</v>
      </c>
      <c r="B46" t="str">
        <v xml:space="preserve">Resham Baghel </v>
      </c>
      <c r="C46" t="str">
        <v>Female</v>
      </c>
      <c r="D46">
        <v>70</v>
      </c>
      <c r="E46">
        <v>70</v>
      </c>
      <c r="F46">
        <v>0</v>
      </c>
      <c r="G46" t="str">
        <v>Cash</v>
      </c>
      <c r="H46" t="str">
        <v>Thu Mar 05 2026</v>
      </c>
      <c r="I46" t="str">
        <v>Sat Mar 21 2026</v>
      </c>
    </row>
    <row r="47">
      <c r="A47">
        <v>2719</v>
      </c>
      <c r="B47" t="str">
        <v xml:space="preserve">Prabha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Mon Mar 16 2026</v>
      </c>
      <c r="I47" t="str">
        <v>Sat Mar 21 2026</v>
      </c>
    </row>
    <row r="48">
      <c r="A48">
        <v>2587</v>
      </c>
      <c r="B48" t="str">
        <v xml:space="preserve">Kamla Prajapat 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Thu Feb 26 2026</v>
      </c>
      <c r="I48" t="str">
        <v>Sat Mar 21 2026</v>
      </c>
    </row>
    <row r="49">
      <c r="A49">
        <v>2707</v>
      </c>
      <c r="B49" t="str">
        <v xml:space="preserve">Vidhyawati Upadhyay </v>
      </c>
      <c r="C49" t="str">
        <v>Female</v>
      </c>
      <c r="D49">
        <v>100</v>
      </c>
      <c r="E49">
        <v>100</v>
      </c>
      <c r="F49">
        <v>0</v>
      </c>
      <c r="G49" t="str">
        <v>Cash</v>
      </c>
      <c r="H49" t="str">
        <v>Sat Mar 14 2026</v>
      </c>
      <c r="I49" t="str">
        <v>Sat Mar 21 2026</v>
      </c>
    </row>
    <row r="50">
      <c r="A50">
        <v>2740</v>
      </c>
      <c r="B50" t="str">
        <v xml:space="preserve">Sandeep yadav </v>
      </c>
      <c r="C50" t="str">
        <v>Male</v>
      </c>
      <c r="D50">
        <v>50</v>
      </c>
      <c r="E50">
        <v>50</v>
      </c>
      <c r="F50">
        <v>0</v>
      </c>
      <c r="G50" t="str">
        <v>UPI</v>
      </c>
      <c r="H50" t="str">
        <v>Wed Mar 18 2026</v>
      </c>
      <c r="I50" t="str">
        <v>Sat Mar 21 2026</v>
      </c>
    </row>
    <row r="51">
      <c r="A51">
        <v>2733</v>
      </c>
      <c r="B51" t="str">
        <v xml:space="preserve">Billo Kaushal </v>
      </c>
      <c r="C51" t="str">
        <v>Female</v>
      </c>
      <c r="D51">
        <v>70</v>
      </c>
      <c r="E51">
        <v>70</v>
      </c>
      <c r="F51">
        <v>0</v>
      </c>
      <c r="G51" t="str">
        <v>Cash</v>
      </c>
      <c r="H51" t="str">
        <v>Tue Mar 17 2026</v>
      </c>
      <c r="I51" t="str">
        <v>Sat Mar 21 2026</v>
      </c>
    </row>
    <row r="52">
      <c r="A52">
        <v>2637</v>
      </c>
      <c r="B52" t="str">
        <v xml:space="preserve">Aakash Chourasia </v>
      </c>
      <c r="C52" t="str">
        <v>Male</v>
      </c>
      <c r="D52">
        <v>50</v>
      </c>
      <c r="E52">
        <v>50</v>
      </c>
      <c r="F52">
        <v>0</v>
      </c>
      <c r="G52" t="str">
        <v>Cash</v>
      </c>
      <c r="H52" t="str">
        <v>Thu Mar 05 2026</v>
      </c>
      <c r="I52" t="str">
        <v>Sat Mar 21 2026</v>
      </c>
    </row>
    <row r="53">
      <c r="A53">
        <v>2690</v>
      </c>
      <c r="B53" t="str">
        <v xml:space="preserve">Sarika salunge </v>
      </c>
      <c r="C53" t="str">
        <v>Female</v>
      </c>
      <c r="D53">
        <v>50</v>
      </c>
      <c r="E53">
        <v>50</v>
      </c>
      <c r="F53">
        <v>0</v>
      </c>
      <c r="G53" t="str">
        <v>Cash</v>
      </c>
      <c r="H53" t="str">
        <v>Thu Mar 12 2026</v>
      </c>
      <c r="I53" t="str">
        <v>Sat Mar 21 2026</v>
      </c>
    </row>
    <row r="54">
      <c r="A54">
        <v>2648</v>
      </c>
      <c r="B54" t="str">
        <v xml:space="preserve">Paramvir Singh </v>
      </c>
      <c r="C54" t="str">
        <v>Male</v>
      </c>
      <c r="D54">
        <v>50</v>
      </c>
      <c r="E54">
        <v>0</v>
      </c>
      <c r="F54">
        <v>50</v>
      </c>
      <c r="G54" t="str">
        <v>Cash</v>
      </c>
      <c r="H54" t="str">
        <v>Fri Mar 06 2026</v>
      </c>
      <c r="I54" t="str">
        <v>Sat Mar 21 2026</v>
      </c>
    </row>
    <row r="55">
      <c r="A55">
        <v>1928</v>
      </c>
      <c r="B55" t="str">
        <v xml:space="preserve">Sushma Kapoor </v>
      </c>
      <c r="C55" t="str">
        <v>Female</v>
      </c>
      <c r="D55">
        <v>50</v>
      </c>
      <c r="E55">
        <v>0</v>
      </c>
      <c r="F55">
        <v>50</v>
      </c>
      <c r="G55" t="str">
        <v>Cash</v>
      </c>
      <c r="H55" t="str">
        <v>Tue Dec 02 2025</v>
      </c>
      <c r="I55" t="str">
        <v>Sat Mar 21 2026</v>
      </c>
    </row>
    <row r="56">
      <c r="A56">
        <v>2750</v>
      </c>
      <c r="B56" t="str">
        <v xml:space="preserve">Shyam Prajapat </v>
      </c>
      <c r="C56" t="str">
        <v>Male</v>
      </c>
      <c r="D56">
        <v>50</v>
      </c>
      <c r="E56">
        <v>50</v>
      </c>
      <c r="F56">
        <v>0</v>
      </c>
      <c r="G56" t="str">
        <v>UPI</v>
      </c>
      <c r="H56" t="str">
        <v>Thu Mar 19 2026</v>
      </c>
      <c r="I56" t="str">
        <v>Sat Mar 21 2026</v>
      </c>
    </row>
    <row r="57">
      <c r="A57">
        <v>2711</v>
      </c>
      <c r="B57" t="str">
        <v xml:space="preserve">Krishnakant Sharma </v>
      </c>
      <c r="C57" t="str">
        <v>Male</v>
      </c>
      <c r="D57">
        <v>50</v>
      </c>
      <c r="E57">
        <v>50</v>
      </c>
      <c r="F57">
        <v>0</v>
      </c>
      <c r="G57" t="str">
        <v>UPI</v>
      </c>
      <c r="H57" t="str">
        <v>Sat Mar 14 2026</v>
      </c>
      <c r="I57" t="str">
        <v>Sat Mar 21 2026</v>
      </c>
    </row>
    <row r="58">
      <c r="A58">
        <v>2761</v>
      </c>
      <c r="B58" t="str">
        <v xml:space="preserve">Madhumati Sahu </v>
      </c>
      <c r="C58" t="str">
        <v>Female</v>
      </c>
      <c r="D58">
        <v>110</v>
      </c>
      <c r="E58">
        <v>110</v>
      </c>
      <c r="F58">
        <v>0</v>
      </c>
      <c r="G58" t="str">
        <v>UPI</v>
      </c>
      <c r="H58" t="str">
        <v>Sat Mar 21 2026</v>
      </c>
      <c r="I58" t="str">
        <v>Sat Mar 21 2026</v>
      </c>
    </row>
    <row r="59">
      <c r="A59">
        <v>2745</v>
      </c>
      <c r="B59" t="str">
        <v xml:space="preserve">Saroj Thakur </v>
      </c>
      <c r="C59" t="str">
        <v>Female</v>
      </c>
      <c r="D59">
        <v>50</v>
      </c>
      <c r="E59">
        <v>50</v>
      </c>
      <c r="F59">
        <v>0</v>
      </c>
      <c r="G59" t="str">
        <v>Cash</v>
      </c>
      <c r="H59" t="str">
        <v>Wed Mar 18 2026</v>
      </c>
      <c r="I59" t="str">
        <v>Sat Mar 21 2026</v>
      </c>
    </row>
    <row r="60">
      <c r="A60">
        <v>2751</v>
      </c>
      <c r="B60" t="str">
        <v xml:space="preserve">Murlidhar Thakur </v>
      </c>
      <c r="C60" t="str">
        <v>Male</v>
      </c>
      <c r="D60">
        <v>50</v>
      </c>
      <c r="E60">
        <v>50</v>
      </c>
      <c r="F60">
        <v>0</v>
      </c>
      <c r="G60" t="str">
        <v>Cash</v>
      </c>
      <c r="H60" t="str">
        <v>Thu Mar 19 2026</v>
      </c>
      <c r="I60" t="str">
        <v>Sat Mar 21 2026</v>
      </c>
    </row>
    <row r="61">
      <c r="A61">
        <v>2762</v>
      </c>
      <c r="B61" t="str">
        <v>Usha Sitara</v>
      </c>
      <c r="C61" t="str">
        <v>Female</v>
      </c>
      <c r="D61">
        <v>110</v>
      </c>
      <c r="E61">
        <v>110</v>
      </c>
      <c r="F61">
        <v>0</v>
      </c>
      <c r="G61" t="str">
        <v>Cash</v>
      </c>
      <c r="H61" t="str">
        <v>Sat Mar 21 2026</v>
      </c>
      <c r="I61" t="str">
        <v>Sat Mar 21 2026</v>
      </c>
    </row>
    <row r="62">
      <c r="A62">
        <v>2763</v>
      </c>
      <c r="B62" t="str">
        <v>Garima Jain</v>
      </c>
      <c r="C62" t="str">
        <v>Female</v>
      </c>
      <c r="D62">
        <v>110</v>
      </c>
      <c r="E62">
        <v>110</v>
      </c>
      <c r="F62">
        <v>0</v>
      </c>
      <c r="G62" t="str">
        <v>Cash</v>
      </c>
      <c r="H62" t="str">
        <v>Sat Mar 21 2026</v>
      </c>
      <c r="I62" t="str">
        <v>Sat Mar 21 2026</v>
      </c>
    </row>
    <row r="63">
      <c r="A63">
        <v>2764</v>
      </c>
      <c r="B63" t="str">
        <v xml:space="preserve">Vimla Ojha </v>
      </c>
      <c r="C63" t="str">
        <v>Female</v>
      </c>
      <c r="D63">
        <v>110</v>
      </c>
      <c r="E63">
        <v>110</v>
      </c>
      <c r="F63">
        <v>0</v>
      </c>
      <c r="G63" t="str">
        <v>UPI</v>
      </c>
      <c r="H63" t="str">
        <v>Sat Mar 21 2026</v>
      </c>
      <c r="I63" t="str">
        <v>Sat Mar 21 2026</v>
      </c>
    </row>
    <row r="64">
      <c r="A64">
        <v>2765</v>
      </c>
      <c r="B64" t="str">
        <v xml:space="preserve">Tanishk Pawar </v>
      </c>
      <c r="C64" t="str">
        <v>Male</v>
      </c>
      <c r="D64">
        <v>110</v>
      </c>
      <c r="E64">
        <v>110</v>
      </c>
      <c r="F64">
        <v>0</v>
      </c>
      <c r="G64" t="str">
        <v>UPI</v>
      </c>
      <c r="H64" t="str">
        <v>Sat Mar 21 2026</v>
      </c>
      <c r="I64" t="str">
        <v>Sat Mar 21 2026</v>
      </c>
    </row>
  </sheetData>
  <ignoredErrors>
    <ignoredError numberStoredAsText="1" sqref="A1:N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Fri Mar 20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SUM(D10:D72)</f>
      </c>
      <c r="B7" t="e">
        <f t="array" ref="B7">SUM(E10:E72)</f>
      </c>
      <c r="C7" t="e">
        <f t="array" ref="C7">SUMIF(G10:G72, "Cash", E10:E72)</f>
      </c>
      <c r="D7" t="e">
        <f t="array" ref="D7">SUMIF(G10:G72, "UPI", E10:E72)</f>
      </c>
      <c r="E7" t="e">
        <f t="array" ref="E7">COUNTA(G10:G72)</f>
      </c>
      <c r="F7" t="e">
        <f t="array" ref="F7">COUNTIF(G10:G72, "Cash")</f>
      </c>
      <c r="G7" t="e">
        <f t="array" ref="G7">COUNTIF(G10:G72, "UPI")</f>
      </c>
      <c r="H7" t="e">
        <f t="array" ref="H7">SUM(F10:F72)</f>
      </c>
      <c r="I7" t="e">
        <f t="array" ref="I7">COUNT(FILTER(F10:F72, F10:F72=D10:D72))</f>
      </c>
      <c r="J7" t="e">
        <f t="array" ref="J7">IFERROR(ROWS(UNIQUE(FILTER(A10:A72,C10:C72="Male"))),0)</f>
      </c>
      <c r="K7" t="e">
        <f t="array" ref="K7">IFERROR(ROWS(UNIQUE(FILTER(A10:A72,C10:C72="Female"))),0)</f>
      </c>
      <c r="L7" t="e">
        <f t="array" ref="L7">IFERROR(ROWS(UNIQUE(FILTER(A10:A72,H10:H72=I10))),0)</f>
      </c>
      <c r="M7" t="e">
        <f t="array" ref="M7">IFERROR(ROWS(UNIQUE(FILTER(A10:A72,H10:H72&lt;&gt;I10))),0)</f>
      </c>
      <c r="N7" t="e">
        <f t="array" ref="N7">IFERROR(ROWS(UNIQUE(A10:A72)),0)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2726</v>
      </c>
      <c r="B10" t="str">
        <v>Gayan Singh pal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Tue Mar 17 2026</v>
      </c>
      <c r="I10" t="str">
        <v>Fri Mar 20 2026</v>
      </c>
    </row>
    <row r="11">
      <c r="A11">
        <v>2489</v>
      </c>
      <c r="B11" t="str">
        <v xml:space="preserve">Anjana Agrawal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Fri Feb 13 2026</v>
      </c>
      <c r="I11" t="str">
        <v>Fri Mar 20 2026</v>
      </c>
    </row>
    <row r="12">
      <c r="A12">
        <v>2717</v>
      </c>
      <c r="B12" t="str">
        <v xml:space="preserve">Ashish Sharma 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Mon Mar 16 2026</v>
      </c>
      <c r="I12" t="str">
        <v>Fri Mar 20 2026</v>
      </c>
    </row>
    <row r="13">
      <c r="A13">
        <v>2729</v>
      </c>
      <c r="B13" t="str">
        <v>Madanlal Aerwal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Tue Mar 17 2026</v>
      </c>
      <c r="I13" t="str">
        <v>Fri Mar 20 2026</v>
      </c>
    </row>
    <row r="14">
      <c r="A14">
        <v>2748</v>
      </c>
      <c r="B14" t="str">
        <v>Govind singh Dodiya</v>
      </c>
      <c r="C14" t="str">
        <v>Male</v>
      </c>
      <c r="D14">
        <v>50</v>
      </c>
      <c r="E14">
        <v>50</v>
      </c>
      <c r="F14">
        <v>0</v>
      </c>
      <c r="G14" t="str">
        <v>UPI</v>
      </c>
      <c r="H14" t="str">
        <v>Thu Mar 19 2026</v>
      </c>
      <c r="I14" t="str">
        <v>Fri Mar 20 2026</v>
      </c>
    </row>
    <row r="15">
      <c r="A15">
        <v>2696</v>
      </c>
      <c r="B15" t="str">
        <v>Giriraj Shrimal</v>
      </c>
      <c r="C15" t="str">
        <v>Male</v>
      </c>
      <c r="D15">
        <v>50</v>
      </c>
      <c r="E15">
        <v>50</v>
      </c>
      <c r="F15">
        <v>0</v>
      </c>
      <c r="G15" t="str">
        <v>UPI</v>
      </c>
      <c r="H15" t="str">
        <v>Fri Mar 13 2026</v>
      </c>
      <c r="I15" t="str">
        <v>Fri Mar 20 2026</v>
      </c>
    </row>
    <row r="16">
      <c r="A16">
        <v>2678</v>
      </c>
      <c r="B16" t="str">
        <v>Mangesh Rai</v>
      </c>
      <c r="C16" t="str">
        <v>Male</v>
      </c>
      <c r="D16">
        <v>50</v>
      </c>
      <c r="E16">
        <v>50</v>
      </c>
      <c r="F16">
        <v>0</v>
      </c>
      <c r="G16" t="str">
        <v>Cash</v>
      </c>
      <c r="H16" t="str">
        <v>Tue Mar 10 2026</v>
      </c>
      <c r="I16" t="str">
        <v>Fri Mar 20 2026</v>
      </c>
    </row>
    <row r="17">
      <c r="A17">
        <v>2224</v>
      </c>
      <c r="B17" t="str">
        <v xml:space="preserve">Vidhya Maheshwari </v>
      </c>
      <c r="C17" t="str">
        <v>Female</v>
      </c>
      <c r="D17">
        <v>50</v>
      </c>
      <c r="E17">
        <v>50</v>
      </c>
      <c r="F17">
        <v>0</v>
      </c>
      <c r="G17" t="str">
        <v>Cash</v>
      </c>
      <c r="H17" t="str">
        <v>Tue Jan 13 2026</v>
      </c>
      <c r="I17" t="str">
        <v>Fri Mar 20 2026</v>
      </c>
    </row>
    <row r="18">
      <c r="A18">
        <v>1917</v>
      </c>
      <c r="B18" t="str">
        <v xml:space="preserve">Ramesh Sharma </v>
      </c>
      <c r="C18" t="str">
        <v>Male</v>
      </c>
      <c r="D18">
        <v>50</v>
      </c>
      <c r="E18">
        <v>50</v>
      </c>
      <c r="F18">
        <v>0</v>
      </c>
      <c r="G18" t="str">
        <v>Cash</v>
      </c>
      <c r="H18" t="str">
        <v>Mon Dec 01 2025</v>
      </c>
      <c r="I18" t="str">
        <v>Fri Mar 20 2026</v>
      </c>
    </row>
    <row r="19">
      <c r="A19">
        <v>2722</v>
      </c>
      <c r="B19" t="str">
        <v xml:space="preserve">Manju Chodhary </v>
      </c>
      <c r="C19" t="str">
        <v>Female</v>
      </c>
      <c r="D19">
        <v>50</v>
      </c>
      <c r="E19">
        <v>50</v>
      </c>
      <c r="F19">
        <v>0</v>
      </c>
      <c r="G19" t="str">
        <v>Cash</v>
      </c>
      <c r="H19" t="str">
        <v>Mon Mar 16 2026</v>
      </c>
      <c r="I19" t="str">
        <v>Fri Mar 20 2026</v>
      </c>
    </row>
    <row r="20">
      <c r="A20">
        <v>2544</v>
      </c>
      <c r="B20" t="str">
        <v>Nitin singh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Mon Feb 23 2026</v>
      </c>
      <c r="I20" t="str">
        <v>Fri Mar 20 2026</v>
      </c>
    </row>
    <row r="21">
      <c r="A21">
        <v>2699</v>
      </c>
      <c r="B21" t="str">
        <v>Tanishk Shrotriya</v>
      </c>
      <c r="C21" t="str">
        <v>Male</v>
      </c>
      <c r="D21">
        <v>50</v>
      </c>
      <c r="E21">
        <v>50</v>
      </c>
      <c r="F21">
        <v>0</v>
      </c>
      <c r="G21" t="str">
        <v>Cash</v>
      </c>
      <c r="H21" t="str">
        <v>Fri Mar 13 2026</v>
      </c>
      <c r="I21" t="str">
        <v>Fri Mar 20 2026</v>
      </c>
    </row>
    <row r="22">
      <c r="A22">
        <v>2713</v>
      </c>
      <c r="B22" t="str">
        <v xml:space="preserve">Ketan kshirsagar </v>
      </c>
      <c r="C22" t="str">
        <v>Male</v>
      </c>
      <c r="D22">
        <v>50</v>
      </c>
      <c r="E22">
        <v>50</v>
      </c>
      <c r="F22">
        <v>0</v>
      </c>
      <c r="G22" t="str">
        <v>UPI</v>
      </c>
      <c r="H22" t="str">
        <v>Mon Mar 16 2026</v>
      </c>
      <c r="I22" t="str">
        <v>Fri Mar 20 2026</v>
      </c>
    </row>
    <row r="23">
      <c r="A23">
        <v>2569</v>
      </c>
      <c r="B23" t="str">
        <v>Suresh Malvi</v>
      </c>
      <c r="C23" t="str">
        <v>Male</v>
      </c>
      <c r="D23">
        <v>50</v>
      </c>
      <c r="E23">
        <v>50</v>
      </c>
      <c r="F23">
        <v>0</v>
      </c>
      <c r="G23" t="str">
        <v>Cash</v>
      </c>
      <c r="H23" t="str">
        <v>Tue Feb 24 2026</v>
      </c>
      <c r="I23" t="str">
        <v>Fri Mar 20 2026</v>
      </c>
    </row>
    <row r="24">
      <c r="A24">
        <v>2686</v>
      </c>
      <c r="B24" t="str">
        <v xml:space="preserve">Devilal Kasera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Thu Mar 12 2026</v>
      </c>
      <c r="I24" t="str">
        <v>Fri Mar 20 2026</v>
      </c>
    </row>
    <row r="25">
      <c r="A25">
        <v>2652</v>
      </c>
      <c r="B25" t="str">
        <v xml:space="preserve">Ganesh Patel </v>
      </c>
      <c r="C25" t="str">
        <v>Male</v>
      </c>
      <c r="D25">
        <v>50</v>
      </c>
      <c r="E25">
        <v>50</v>
      </c>
      <c r="F25">
        <v>0</v>
      </c>
      <c r="G25" t="str">
        <v>Cash</v>
      </c>
      <c r="H25" t="str">
        <v>Sat Mar 07 2026</v>
      </c>
      <c r="I25" t="str">
        <v>Fri Mar 20 2026</v>
      </c>
    </row>
    <row r="26">
      <c r="A26">
        <v>2676</v>
      </c>
      <c r="B26" t="str">
        <v xml:space="preserve">Savita Soni </v>
      </c>
      <c r="C26" t="str">
        <v>Female</v>
      </c>
      <c r="D26">
        <v>50</v>
      </c>
      <c r="E26">
        <v>50</v>
      </c>
      <c r="F26">
        <v>0</v>
      </c>
      <c r="G26" t="str">
        <v>Cash</v>
      </c>
      <c r="H26" t="str">
        <v>Tue Mar 10 2026</v>
      </c>
      <c r="I26" t="str">
        <v>Fri Mar 20 2026</v>
      </c>
    </row>
    <row r="27">
      <c r="A27">
        <v>2707</v>
      </c>
      <c r="B27" t="str">
        <v xml:space="preserve">Vidhyawati Upadhyay </v>
      </c>
      <c r="C27" t="str">
        <v>Female</v>
      </c>
      <c r="D27">
        <v>70</v>
      </c>
      <c r="E27">
        <v>70</v>
      </c>
      <c r="F27">
        <v>0</v>
      </c>
      <c r="G27" t="str">
        <v>Cash</v>
      </c>
      <c r="H27" t="str">
        <v>Sat Mar 14 2026</v>
      </c>
      <c r="I27" t="str">
        <v>Fri Mar 20 2026</v>
      </c>
    </row>
    <row r="28">
      <c r="A28">
        <v>2705</v>
      </c>
      <c r="B28" t="str">
        <v>Phoolbai thariya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Sat Mar 14 2026</v>
      </c>
      <c r="I28" t="str">
        <v>Fri Mar 20 2026</v>
      </c>
    </row>
    <row r="29">
      <c r="A29">
        <v>2683</v>
      </c>
      <c r="B29" t="str">
        <v>Bindu Ojha</v>
      </c>
      <c r="C29" t="str">
        <v>Female</v>
      </c>
      <c r="D29">
        <v>50</v>
      </c>
      <c r="E29">
        <v>50</v>
      </c>
      <c r="F29">
        <v>0</v>
      </c>
      <c r="G29" t="str">
        <v>Cash</v>
      </c>
      <c r="H29" t="str">
        <v>Wed Mar 11 2026</v>
      </c>
      <c r="I29" t="str">
        <v>Fri Mar 20 2026</v>
      </c>
    </row>
    <row r="30">
      <c r="A30">
        <v>2452</v>
      </c>
      <c r="B30" t="str">
        <v xml:space="preserve">B. S. Rajput </v>
      </c>
      <c r="C30" t="str">
        <v>Male</v>
      </c>
      <c r="D30">
        <v>50</v>
      </c>
      <c r="E30">
        <v>50</v>
      </c>
      <c r="F30">
        <v>0</v>
      </c>
      <c r="G30" t="str">
        <v>Cash</v>
      </c>
      <c r="H30" t="str">
        <v>Mon Feb 09 2026</v>
      </c>
      <c r="I30" t="str">
        <v>Fri Mar 20 2026</v>
      </c>
    </row>
    <row r="31">
      <c r="A31">
        <v>2619</v>
      </c>
      <c r="B31" t="str">
        <v>Kailash Mathur</v>
      </c>
      <c r="C31" t="str">
        <v>Male</v>
      </c>
      <c r="D31">
        <v>50</v>
      </c>
      <c r="E31">
        <v>50</v>
      </c>
      <c r="F31">
        <v>0</v>
      </c>
      <c r="G31" t="str">
        <v>Cash</v>
      </c>
      <c r="H31" t="str">
        <v>Tue Mar 03 2026</v>
      </c>
      <c r="I31" t="str">
        <v>Fri Mar 20 2026</v>
      </c>
    </row>
    <row r="32">
      <c r="A32">
        <v>2715</v>
      </c>
      <c r="B32" t="str">
        <v xml:space="preserve">Sangita Sharma </v>
      </c>
      <c r="C32" t="str">
        <v>Female</v>
      </c>
      <c r="D32">
        <v>50</v>
      </c>
      <c r="E32">
        <v>50</v>
      </c>
      <c r="F32">
        <v>0</v>
      </c>
      <c r="G32" t="str">
        <v>UPI</v>
      </c>
      <c r="H32" t="str">
        <v>Mon Mar 16 2026</v>
      </c>
      <c r="I32" t="str">
        <v>Fri Mar 20 2026</v>
      </c>
    </row>
    <row r="33">
      <c r="A33">
        <v>2695</v>
      </c>
      <c r="B33" t="str">
        <v xml:space="preserve">Kaladevi Sharma </v>
      </c>
      <c r="C33" t="str">
        <v>Female</v>
      </c>
      <c r="D33">
        <v>50</v>
      </c>
      <c r="E33">
        <v>50</v>
      </c>
      <c r="F33">
        <v>0</v>
      </c>
      <c r="G33" t="str">
        <v>UPI</v>
      </c>
      <c r="H33" t="str">
        <v>Fri Mar 13 2026</v>
      </c>
      <c r="I33" t="str">
        <v>Fri Mar 20 2026</v>
      </c>
    </row>
    <row r="34">
      <c r="A34">
        <v>2684</v>
      </c>
      <c r="B34" t="str">
        <v xml:space="preserve">Pooja nariya </v>
      </c>
      <c r="C34" t="str">
        <v>Female</v>
      </c>
      <c r="D34">
        <v>50</v>
      </c>
      <c r="E34">
        <v>50</v>
      </c>
      <c r="F34">
        <v>0</v>
      </c>
      <c r="G34" t="str">
        <v>UPI</v>
      </c>
      <c r="H34" t="str">
        <v>Wed Mar 11 2026</v>
      </c>
      <c r="I34" t="str">
        <v>Fri Mar 20 2026</v>
      </c>
    </row>
    <row r="35">
      <c r="A35">
        <v>2305</v>
      </c>
      <c r="B35" t="str">
        <v xml:space="preserve">Mahendra Varma </v>
      </c>
      <c r="C35" t="str">
        <v>Male</v>
      </c>
      <c r="D35">
        <v>70</v>
      </c>
      <c r="E35">
        <v>70</v>
      </c>
      <c r="F35">
        <v>0</v>
      </c>
      <c r="G35" t="str">
        <v>UPI</v>
      </c>
      <c r="H35" t="str">
        <v>Thu Jan 22 2026</v>
      </c>
      <c r="I35" t="str">
        <v>Fri Mar 20 2026</v>
      </c>
    </row>
    <row r="36">
      <c r="A36">
        <v>2697</v>
      </c>
      <c r="B36" t="str">
        <v xml:space="preserve">Sheetal Kushwaha </v>
      </c>
      <c r="C36" t="str">
        <v>Female</v>
      </c>
      <c r="D36">
        <v>50</v>
      </c>
      <c r="E36">
        <v>50</v>
      </c>
      <c r="F36">
        <v>0</v>
      </c>
      <c r="G36" t="str">
        <v>Cash</v>
      </c>
      <c r="H36" t="str">
        <v>Fri Mar 13 2026</v>
      </c>
      <c r="I36" t="str">
        <v>Fri Mar 20 2026</v>
      </c>
    </row>
    <row r="37">
      <c r="A37">
        <v>2752</v>
      </c>
      <c r="B37" t="str">
        <v xml:space="preserve">Pramodini Sharma </v>
      </c>
      <c r="C37" t="str">
        <v>Female</v>
      </c>
      <c r="D37">
        <v>110</v>
      </c>
      <c r="E37">
        <v>110</v>
      </c>
      <c r="F37">
        <v>0</v>
      </c>
      <c r="G37" t="str">
        <v>Cash</v>
      </c>
      <c r="H37" t="str">
        <v>Fri Mar 20 2026</v>
      </c>
      <c r="I37" t="str">
        <v>Fri Mar 20 2026</v>
      </c>
    </row>
    <row r="38">
      <c r="A38">
        <v>2718</v>
      </c>
      <c r="B38" t="str">
        <v>Rajesh Jain</v>
      </c>
      <c r="C38" t="str">
        <v>Male</v>
      </c>
      <c r="D38">
        <v>50</v>
      </c>
      <c r="E38">
        <v>50</v>
      </c>
      <c r="F38">
        <v>0</v>
      </c>
      <c r="G38" t="str">
        <v>Cash</v>
      </c>
      <c r="H38" t="str">
        <v>Mon Mar 16 2026</v>
      </c>
      <c r="I38" t="str">
        <v>Fri Mar 20 2026</v>
      </c>
    </row>
    <row r="39">
      <c r="A39">
        <v>2633</v>
      </c>
      <c r="B39" t="str">
        <v xml:space="preserve">Resham Baghel </v>
      </c>
      <c r="C39" t="str">
        <v>Female</v>
      </c>
      <c r="D39">
        <v>70</v>
      </c>
      <c r="E39">
        <v>70</v>
      </c>
      <c r="F39">
        <v>0</v>
      </c>
      <c r="G39" t="str">
        <v>Cash</v>
      </c>
      <c r="H39" t="str">
        <v>Thu Mar 05 2026</v>
      </c>
      <c r="I39" t="str">
        <v>Fri Mar 20 2026</v>
      </c>
    </row>
    <row r="40">
      <c r="A40">
        <v>2753</v>
      </c>
      <c r="B40" t="str">
        <v xml:space="preserve">Sanyam Jain </v>
      </c>
      <c r="C40" t="str">
        <v>Male</v>
      </c>
      <c r="D40">
        <v>110</v>
      </c>
      <c r="E40">
        <v>110</v>
      </c>
      <c r="F40">
        <v>0</v>
      </c>
      <c r="G40" t="str">
        <v>UPI</v>
      </c>
      <c r="H40" t="str">
        <v>Fri Mar 20 2026</v>
      </c>
      <c r="I40" t="str">
        <v>Fri Mar 20 2026</v>
      </c>
    </row>
    <row r="41">
      <c r="A41">
        <v>2735</v>
      </c>
      <c r="B41" t="str">
        <v>Mahesh Bama</v>
      </c>
      <c r="C41" t="str">
        <v>Male</v>
      </c>
      <c r="D41">
        <v>50</v>
      </c>
      <c r="E41">
        <v>50</v>
      </c>
      <c r="F41">
        <v>0</v>
      </c>
      <c r="G41" t="str">
        <v>Cash</v>
      </c>
      <c r="H41" t="str">
        <v>Tue Mar 17 2026</v>
      </c>
      <c r="I41" t="str">
        <v>Fri Mar 20 2026</v>
      </c>
    </row>
    <row r="42">
      <c r="A42">
        <v>2720</v>
      </c>
      <c r="B42" t="str">
        <v>Rajesh Sankhla</v>
      </c>
      <c r="C42" t="str">
        <v>Male</v>
      </c>
      <c r="D42">
        <v>50</v>
      </c>
      <c r="E42">
        <v>50</v>
      </c>
      <c r="F42">
        <v>0</v>
      </c>
      <c r="G42" t="str">
        <v>Cash</v>
      </c>
      <c r="H42" t="str">
        <v>Mon Mar 16 2026</v>
      </c>
      <c r="I42" t="str">
        <v>Fri Mar 20 2026</v>
      </c>
    </row>
    <row r="43">
      <c r="A43">
        <v>2739</v>
      </c>
      <c r="B43" t="str">
        <v xml:space="preserve">Vimla satsangi </v>
      </c>
      <c r="C43" t="str">
        <v>Female</v>
      </c>
      <c r="D43">
        <v>50</v>
      </c>
      <c r="E43">
        <v>50</v>
      </c>
      <c r="F43">
        <v>0</v>
      </c>
      <c r="G43" t="str">
        <v>Cash</v>
      </c>
      <c r="H43" t="str">
        <v>Wed Mar 18 2026</v>
      </c>
      <c r="I43" t="str">
        <v>Fri Mar 20 2026</v>
      </c>
    </row>
    <row r="44">
      <c r="A44">
        <v>2644</v>
      </c>
      <c r="B44" t="str">
        <v>Laxmi Sambhariya</v>
      </c>
      <c r="C44" t="str">
        <v>Female</v>
      </c>
      <c r="D44">
        <v>70</v>
      </c>
      <c r="E44">
        <v>70</v>
      </c>
      <c r="F44">
        <v>0</v>
      </c>
      <c r="G44" t="str">
        <v>Cash</v>
      </c>
      <c r="H44" t="str">
        <v>Fri Mar 06 2026</v>
      </c>
      <c r="I44" t="str">
        <v>Fri Mar 20 2026</v>
      </c>
    </row>
    <row r="45">
      <c r="A45">
        <v>2731</v>
      </c>
      <c r="B45" t="str">
        <v xml:space="preserve">Shobha Gupta </v>
      </c>
      <c r="C45" t="str">
        <v>Female</v>
      </c>
      <c r="D45">
        <v>50</v>
      </c>
      <c r="E45">
        <v>50</v>
      </c>
      <c r="F45">
        <v>0</v>
      </c>
      <c r="G45" t="str">
        <v>UPI</v>
      </c>
      <c r="H45" t="str">
        <v>Tue Mar 17 2026</v>
      </c>
      <c r="I45" t="str">
        <v>Fri Mar 20 2026</v>
      </c>
    </row>
    <row r="46">
      <c r="A46">
        <v>2584</v>
      </c>
      <c r="B46" t="str">
        <v xml:space="preserve">Lokesh Raghuvanshi </v>
      </c>
      <c r="C46" t="str">
        <v>Male</v>
      </c>
      <c r="D46">
        <v>70</v>
      </c>
      <c r="E46">
        <v>70</v>
      </c>
      <c r="F46">
        <v>0</v>
      </c>
      <c r="G46" t="str">
        <v>UPI</v>
      </c>
      <c r="H46" t="str">
        <v>Thu Feb 26 2026</v>
      </c>
      <c r="I46" t="str">
        <v>Fri Mar 20 2026</v>
      </c>
    </row>
    <row r="47">
      <c r="A47">
        <v>2656</v>
      </c>
      <c r="B47" t="str">
        <v xml:space="preserve">Ashish Varma </v>
      </c>
      <c r="C47" t="str">
        <v>Male</v>
      </c>
      <c r="D47">
        <v>50</v>
      </c>
      <c r="E47">
        <v>50</v>
      </c>
      <c r="F47">
        <v>0</v>
      </c>
      <c r="G47" t="str">
        <v>Cash</v>
      </c>
      <c r="H47" t="str">
        <v>Sat Mar 07 2026</v>
      </c>
      <c r="I47" t="str">
        <v>Fri Mar 20 2026</v>
      </c>
    </row>
    <row r="48">
      <c r="A48">
        <v>2693</v>
      </c>
      <c r="B48" t="str">
        <v xml:space="preserve">Sangita Goyal 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Thu Mar 12 2026</v>
      </c>
      <c r="I48" t="str">
        <v>Fri Mar 20 2026</v>
      </c>
    </row>
    <row r="49">
      <c r="A49">
        <v>1600</v>
      </c>
      <c r="B49" t="str">
        <v>Gopal Tayal</v>
      </c>
      <c r="C49" t="str">
        <v>Male</v>
      </c>
      <c r="D49">
        <v>130</v>
      </c>
      <c r="E49">
        <v>130</v>
      </c>
      <c r="F49">
        <v>0</v>
      </c>
      <c r="G49" t="str">
        <v>Cash</v>
      </c>
      <c r="H49" t="str">
        <v>Fri Oct 17 2025</v>
      </c>
      <c r="I49" t="str">
        <v>Fri Mar 20 2026</v>
      </c>
    </row>
    <row r="50">
      <c r="A50">
        <v>2674</v>
      </c>
      <c r="B50" t="str">
        <v xml:space="preserve">Mira Sharma 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Tue Mar 10 2026</v>
      </c>
      <c r="I50" t="str">
        <v>Fri Mar 20 2026</v>
      </c>
    </row>
    <row r="51">
      <c r="A51">
        <v>2730</v>
      </c>
      <c r="B51" t="str">
        <v xml:space="preserve">Anuj Chouhan </v>
      </c>
      <c r="C51" t="str">
        <v>Male</v>
      </c>
      <c r="D51">
        <v>50</v>
      </c>
      <c r="E51">
        <v>50</v>
      </c>
      <c r="F51">
        <v>0</v>
      </c>
      <c r="G51" t="str">
        <v>UPI</v>
      </c>
      <c r="H51" t="str">
        <v>Tue Mar 17 2026</v>
      </c>
      <c r="I51" t="str">
        <v>Fri Mar 20 2026</v>
      </c>
    </row>
    <row r="52">
      <c r="A52">
        <v>2747</v>
      </c>
      <c r="B52" t="str">
        <v>Subhash Patra</v>
      </c>
      <c r="C52" t="str">
        <v>Male</v>
      </c>
      <c r="D52">
        <v>50</v>
      </c>
      <c r="E52">
        <v>50</v>
      </c>
      <c r="F52">
        <v>0</v>
      </c>
      <c r="G52" t="str">
        <v>Cash</v>
      </c>
      <c r="H52" t="str">
        <v>Wed Mar 18 2026</v>
      </c>
      <c r="I52" t="str">
        <v>Fri Mar 20 2026</v>
      </c>
    </row>
    <row r="53">
      <c r="A53">
        <v>2666</v>
      </c>
      <c r="B53" t="str">
        <v>Bharti Bhomik</v>
      </c>
      <c r="C53" t="str">
        <v>Female</v>
      </c>
      <c r="D53">
        <v>70</v>
      </c>
      <c r="E53">
        <v>70</v>
      </c>
      <c r="F53">
        <v>0</v>
      </c>
      <c r="G53" t="str">
        <v>Cash</v>
      </c>
      <c r="H53" t="str">
        <v>Mon Mar 09 2026</v>
      </c>
      <c r="I53" t="str">
        <v>Fri Mar 20 2026</v>
      </c>
    </row>
    <row r="54">
      <c r="A54">
        <v>2740</v>
      </c>
      <c r="B54" t="str">
        <v xml:space="preserve">Sandeep yadav </v>
      </c>
      <c r="C54" t="str">
        <v>Male</v>
      </c>
      <c r="D54">
        <v>50</v>
      </c>
      <c r="E54">
        <v>50</v>
      </c>
      <c r="F54">
        <v>0</v>
      </c>
      <c r="G54" t="str">
        <v>Cash</v>
      </c>
      <c r="H54" t="str">
        <v>Wed Mar 18 2026</v>
      </c>
      <c r="I54" t="str">
        <v>Fri Mar 20 2026</v>
      </c>
    </row>
    <row r="55">
      <c r="A55">
        <v>2382</v>
      </c>
      <c r="B55" t="str">
        <v xml:space="preserve">Vijay Rathore </v>
      </c>
      <c r="C55" t="str">
        <v>Male</v>
      </c>
      <c r="D55">
        <v>50</v>
      </c>
      <c r="E55">
        <v>50</v>
      </c>
      <c r="F55">
        <v>0</v>
      </c>
      <c r="G55" t="str">
        <v>UPI</v>
      </c>
      <c r="H55" t="str">
        <v>Mon Feb 02 2026</v>
      </c>
      <c r="I55" t="str">
        <v>Fri Mar 20 2026</v>
      </c>
    </row>
    <row r="56">
      <c r="A56">
        <v>2566</v>
      </c>
      <c r="B56" t="str">
        <v xml:space="preserve">Deepak Patil </v>
      </c>
      <c r="C56" t="str">
        <v>Male</v>
      </c>
      <c r="D56">
        <v>50</v>
      </c>
      <c r="E56">
        <v>50</v>
      </c>
      <c r="F56">
        <v>0</v>
      </c>
      <c r="G56" t="str">
        <v>Cash</v>
      </c>
      <c r="H56" t="str">
        <v>Tue Feb 24 2026</v>
      </c>
      <c r="I56" t="str">
        <v>Fri Mar 20 2026</v>
      </c>
    </row>
    <row r="57">
      <c r="A57">
        <v>2587</v>
      </c>
      <c r="B57" t="str">
        <v xml:space="preserve">Kamla Prajapat </v>
      </c>
      <c r="C57" t="str">
        <v>Female</v>
      </c>
      <c r="D57">
        <v>50</v>
      </c>
      <c r="E57">
        <v>50</v>
      </c>
      <c r="F57">
        <v>0</v>
      </c>
      <c r="G57" t="str">
        <v>Cash</v>
      </c>
      <c r="H57" t="str">
        <v>Thu Feb 26 2026</v>
      </c>
      <c r="I57" t="str">
        <v>Fri Mar 20 2026</v>
      </c>
    </row>
    <row r="58">
      <c r="A58">
        <v>2733</v>
      </c>
      <c r="B58" t="str">
        <v xml:space="preserve">Billo Kaushal </v>
      </c>
      <c r="C58" t="str">
        <v>Female</v>
      </c>
      <c r="D58">
        <v>70</v>
      </c>
      <c r="E58">
        <v>70</v>
      </c>
      <c r="F58">
        <v>0</v>
      </c>
      <c r="G58" t="str">
        <v>Cash</v>
      </c>
      <c r="H58" t="str">
        <v>Tue Mar 17 2026</v>
      </c>
      <c r="I58" t="str">
        <v>Fri Mar 20 2026</v>
      </c>
    </row>
    <row r="59">
      <c r="A59">
        <v>2670</v>
      </c>
      <c r="B59" t="str">
        <v>Manjulata Aragwal</v>
      </c>
      <c r="C59" t="str">
        <v>Female</v>
      </c>
      <c r="D59">
        <v>70</v>
      </c>
      <c r="E59">
        <v>70</v>
      </c>
      <c r="F59">
        <v>0</v>
      </c>
      <c r="G59" t="str">
        <v>UPI</v>
      </c>
      <c r="H59" t="str">
        <v>Mon Mar 09 2026</v>
      </c>
      <c r="I59" t="str">
        <v>Fri Mar 20 2026</v>
      </c>
    </row>
    <row r="60">
      <c r="A60">
        <v>2719</v>
      </c>
      <c r="B60" t="str">
        <v xml:space="preserve">Prabha </v>
      </c>
      <c r="C60" t="str">
        <v>Female</v>
      </c>
      <c r="D60">
        <v>50</v>
      </c>
      <c r="E60">
        <v>50</v>
      </c>
      <c r="F60">
        <v>0</v>
      </c>
      <c r="G60" t="str">
        <v>Cash</v>
      </c>
      <c r="H60" t="str">
        <v>Mon Mar 16 2026</v>
      </c>
      <c r="I60" t="str">
        <v>Fri Mar 20 2026</v>
      </c>
    </row>
    <row r="61">
      <c r="A61">
        <v>2648</v>
      </c>
      <c r="B61" t="str">
        <v xml:space="preserve">Paramvir Singh </v>
      </c>
      <c r="C61" t="str">
        <v>Male</v>
      </c>
      <c r="D61">
        <v>100</v>
      </c>
      <c r="E61">
        <v>100</v>
      </c>
      <c r="F61">
        <v>0</v>
      </c>
      <c r="G61" t="str">
        <v>UPI</v>
      </c>
      <c r="H61" t="str">
        <v>Fri Mar 06 2026</v>
      </c>
      <c r="I61" t="str">
        <v>Fri Mar 20 2026</v>
      </c>
    </row>
    <row r="62">
      <c r="A62">
        <v>2289</v>
      </c>
      <c r="B62" t="str">
        <v xml:space="preserve">Jaibir Singh </v>
      </c>
      <c r="C62" t="str">
        <v>Male</v>
      </c>
      <c r="D62">
        <v>50</v>
      </c>
      <c r="E62">
        <v>50</v>
      </c>
      <c r="F62">
        <v>0</v>
      </c>
      <c r="G62" t="str">
        <v>Cash</v>
      </c>
      <c r="H62" t="str">
        <v>Tue Jan 20 2026</v>
      </c>
      <c r="I62" t="str">
        <v>Fri Mar 20 2026</v>
      </c>
    </row>
    <row r="63">
      <c r="A63">
        <v>1437</v>
      </c>
      <c r="B63" t="str">
        <v>Suraj Dharve</v>
      </c>
      <c r="C63" t="str">
        <v>Female</v>
      </c>
      <c r="D63">
        <v>50</v>
      </c>
      <c r="E63">
        <v>0</v>
      </c>
      <c r="F63">
        <v>50</v>
      </c>
      <c r="G63" t="str">
        <v>Cash</v>
      </c>
      <c r="H63" t="str">
        <v>Fri Sep 19 2025</v>
      </c>
      <c r="I63" t="str">
        <v>Fri Mar 20 2026</v>
      </c>
    </row>
    <row r="64">
      <c r="A64">
        <v>870</v>
      </c>
      <c r="B64" t="str">
        <v>Vinita Pancholi</v>
      </c>
      <c r="C64" t="str">
        <v>Female</v>
      </c>
      <c r="D64">
        <v>50</v>
      </c>
      <c r="E64">
        <v>0</v>
      </c>
      <c r="F64">
        <v>50</v>
      </c>
      <c r="G64" t="str">
        <v>Cash</v>
      </c>
      <c r="H64" t="str">
        <v>Sat Jul 05 2025</v>
      </c>
      <c r="I64" t="str">
        <v>Fri Mar 20 2026</v>
      </c>
    </row>
    <row r="65">
      <c r="A65">
        <v>2744</v>
      </c>
      <c r="B65" t="str">
        <v xml:space="preserve">Jagdish Kumawat </v>
      </c>
      <c r="C65" t="str">
        <v>Male</v>
      </c>
      <c r="D65">
        <v>50</v>
      </c>
      <c r="E65">
        <v>50</v>
      </c>
      <c r="F65">
        <v>0</v>
      </c>
      <c r="G65" t="str">
        <v>Cash</v>
      </c>
      <c r="H65" t="str">
        <v>Wed Mar 18 2026</v>
      </c>
      <c r="I65" t="str">
        <v>Fri Mar 20 2026</v>
      </c>
    </row>
    <row r="66">
      <c r="A66">
        <v>1928</v>
      </c>
      <c r="B66" t="str">
        <v xml:space="preserve">Sushma Kapoor </v>
      </c>
      <c r="C66" t="str">
        <v>Female</v>
      </c>
      <c r="D66">
        <v>50</v>
      </c>
      <c r="E66">
        <v>0</v>
      </c>
      <c r="F66">
        <v>50</v>
      </c>
      <c r="G66" t="str">
        <v>Cash</v>
      </c>
      <c r="H66" t="str">
        <v>Tue Dec 02 2025</v>
      </c>
      <c r="I66" t="str">
        <v>Fri Mar 20 2026</v>
      </c>
    </row>
    <row r="67">
      <c r="A67">
        <v>2751</v>
      </c>
      <c r="B67" t="str">
        <v xml:space="preserve">Murlidhar Thakur </v>
      </c>
      <c r="C67" t="str">
        <v>Male</v>
      </c>
      <c r="D67">
        <v>50</v>
      </c>
      <c r="E67">
        <v>50</v>
      </c>
      <c r="F67">
        <v>0</v>
      </c>
      <c r="G67" t="str">
        <v>Cash</v>
      </c>
      <c r="H67" t="str">
        <v>Thu Mar 19 2026</v>
      </c>
      <c r="I67" t="str">
        <v>Fri Mar 20 2026</v>
      </c>
    </row>
    <row r="68">
      <c r="A68">
        <v>2745</v>
      </c>
      <c r="B68" t="str">
        <v xml:space="preserve">Saroj Thakur </v>
      </c>
      <c r="C68" t="str">
        <v>Female</v>
      </c>
      <c r="D68">
        <v>50</v>
      </c>
      <c r="E68">
        <v>50</v>
      </c>
      <c r="F68">
        <v>0</v>
      </c>
      <c r="G68" t="str">
        <v>Cash</v>
      </c>
      <c r="H68" t="str">
        <v>Wed Mar 18 2026</v>
      </c>
      <c r="I68" t="str">
        <v>Fri Mar 20 2026</v>
      </c>
    </row>
    <row r="69">
      <c r="A69">
        <v>2711</v>
      </c>
      <c r="B69" t="str">
        <v xml:space="preserve">Krishnakant Sharma </v>
      </c>
      <c r="C69" t="str">
        <v>Male</v>
      </c>
      <c r="D69">
        <v>50</v>
      </c>
      <c r="E69">
        <v>50</v>
      </c>
      <c r="F69">
        <v>0</v>
      </c>
      <c r="G69" t="str">
        <v>UPI</v>
      </c>
      <c r="H69" t="str">
        <v>Sat Mar 14 2026</v>
      </c>
      <c r="I69" t="str">
        <v>Fri Mar 20 2026</v>
      </c>
    </row>
    <row r="70">
      <c r="A70">
        <v>2754</v>
      </c>
      <c r="B70" t="str">
        <v>Sangeeta Jain</v>
      </c>
      <c r="C70" t="str">
        <v>Female</v>
      </c>
      <c r="D70">
        <v>110</v>
      </c>
      <c r="E70">
        <v>110</v>
      </c>
      <c r="F70">
        <v>0</v>
      </c>
      <c r="G70" t="str">
        <v>Cash</v>
      </c>
      <c r="H70" t="str">
        <v>Fri Mar 20 2026</v>
      </c>
      <c r="I70" t="str">
        <v>Fri Mar 20 2026</v>
      </c>
    </row>
    <row r="71">
      <c r="A71">
        <v>2635</v>
      </c>
      <c r="B71" t="str">
        <v xml:space="preserve">O. P. Joshi </v>
      </c>
      <c r="C71" t="str">
        <v>Male</v>
      </c>
      <c r="D71">
        <v>50</v>
      </c>
      <c r="E71">
        <v>50</v>
      </c>
      <c r="F71">
        <v>0</v>
      </c>
      <c r="G71" t="str">
        <v>Cash</v>
      </c>
      <c r="H71" t="str">
        <v>Thu Mar 05 2026</v>
      </c>
      <c r="I71" t="str">
        <v>Fri Mar 20 2026</v>
      </c>
    </row>
    <row r="72">
      <c r="A72">
        <v>2755</v>
      </c>
      <c r="B72" t="str">
        <v xml:space="preserve">Manisha Shukla </v>
      </c>
      <c r="C72" t="str">
        <v>Female</v>
      </c>
      <c r="D72">
        <v>110</v>
      </c>
      <c r="E72">
        <v>110</v>
      </c>
      <c r="F72">
        <v>0</v>
      </c>
      <c r="G72" t="str">
        <v>Cash</v>
      </c>
      <c r="H72" t="str">
        <v>Fri Mar 20 2026</v>
      </c>
      <c r="I72" t="str">
        <v>Fri Mar 20 2026</v>
      </c>
    </row>
  </sheetData>
  <ignoredErrors>
    <ignoredError numberStoredAsText="1" sqref="A1:N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61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Thu Mar 19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SUM(D10:D61)</f>
      </c>
      <c r="B7" t="e">
        <f t="array" ref="B7">SUM(E10:E61)</f>
      </c>
      <c r="C7" t="e">
        <f t="array" ref="C7">SUMIF(G10:G61, "Cash", E10:E61)</f>
      </c>
      <c r="D7" t="e">
        <f t="array" ref="D7">SUMIF(G10:G61, "UPI", E10:E61)</f>
      </c>
      <c r="E7" t="e">
        <f t="array" ref="E7">COUNTA(G10:G61)</f>
      </c>
      <c r="F7" t="e">
        <f t="array" ref="F7">COUNTIF(G10:G61, "Cash")</f>
      </c>
      <c r="G7" t="e">
        <f t="array" ref="G7">COUNTIF(G10:G61, "UPI")</f>
      </c>
      <c r="H7" t="e">
        <f t="array" ref="H7">SUM(F10:F61)</f>
      </c>
      <c r="I7" t="e">
        <f t="array" ref="I7">COUNT(FILTER(F10:F61, F10:F61=D10:D61))</f>
      </c>
      <c r="J7" t="e">
        <f t="array" ref="J7">IFERROR(ROWS(UNIQUE(FILTER(A10:A61,C10:C61="Male"))),0)</f>
      </c>
      <c r="K7" t="e">
        <f t="array" ref="K7">IFERROR(ROWS(UNIQUE(FILTER(A10:A61,C10:C61="Female"))),0)</f>
      </c>
      <c r="L7" t="e">
        <f t="array" ref="L7">IFERROR(ROWS(UNIQUE(FILTER(A10:A61,H10:H61=I10))),0)</f>
      </c>
      <c r="M7" t="e">
        <f t="array" ref="M7">IFERROR(ROWS(UNIQUE(FILTER(A10:A61,H10:H61&lt;&gt;I10))),0)</f>
      </c>
      <c r="N7" t="e">
        <f t="array" ref="N7">IFERROR(ROWS(UNIQUE(A10:A61)),0)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2224</v>
      </c>
      <c r="B10" t="str">
        <v xml:space="preserve">Vidhya Maheshwari </v>
      </c>
      <c r="C10" t="str">
        <v>Female</v>
      </c>
      <c r="D10">
        <v>50</v>
      </c>
      <c r="E10">
        <v>50</v>
      </c>
      <c r="F10">
        <v>0</v>
      </c>
      <c r="G10" t="str">
        <v>Cash</v>
      </c>
      <c r="H10" t="str">
        <v>Tue Jan 13 2026</v>
      </c>
      <c r="I10" t="str">
        <v>Thu Mar 19 2026</v>
      </c>
    </row>
    <row r="11">
      <c r="A11">
        <v>2726</v>
      </c>
      <c r="B11" t="str">
        <v>Gayan Singh pal</v>
      </c>
      <c r="C11" t="str">
        <v>Male</v>
      </c>
      <c r="D11">
        <v>50</v>
      </c>
      <c r="E11">
        <v>50</v>
      </c>
      <c r="F11">
        <v>0</v>
      </c>
      <c r="G11" t="str">
        <v>Cash</v>
      </c>
      <c r="H11" t="str">
        <v>Tue Mar 17 2026</v>
      </c>
      <c r="I11" t="str">
        <v>Thu Mar 19 2026</v>
      </c>
    </row>
    <row r="12">
      <c r="A12">
        <v>2678</v>
      </c>
      <c r="B12" t="str">
        <v>Mangesh Rai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Tue Mar 10 2026</v>
      </c>
      <c r="I12" t="str">
        <v>Thu Mar 19 2026</v>
      </c>
    </row>
    <row r="13">
      <c r="A13">
        <v>2717</v>
      </c>
      <c r="B13" t="str">
        <v xml:space="preserve">Ashish Sharma 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Mon Mar 16 2026</v>
      </c>
      <c r="I13" t="str">
        <v>Thu Mar 19 2026</v>
      </c>
    </row>
    <row r="14">
      <c r="A14">
        <v>2705</v>
      </c>
      <c r="B14" t="str">
        <v>Phoolbai thariya</v>
      </c>
      <c r="C14" t="str">
        <v>Female</v>
      </c>
      <c r="D14">
        <v>50</v>
      </c>
      <c r="E14">
        <v>50</v>
      </c>
      <c r="F14">
        <v>0</v>
      </c>
      <c r="G14" t="str">
        <v>Cash</v>
      </c>
      <c r="H14" t="str">
        <v>Sat Mar 14 2026</v>
      </c>
      <c r="I14" t="str">
        <v>Thu Mar 19 2026</v>
      </c>
    </row>
    <row r="15">
      <c r="A15">
        <v>2729</v>
      </c>
      <c r="B15" t="str">
        <v>Madanlal Aerwal</v>
      </c>
      <c r="C15" t="str">
        <v>Male</v>
      </c>
      <c r="D15">
        <v>50</v>
      </c>
      <c r="E15">
        <v>50</v>
      </c>
      <c r="F15">
        <v>0</v>
      </c>
      <c r="G15" t="str">
        <v>Cash</v>
      </c>
      <c r="H15" t="str">
        <v>Tue Mar 17 2026</v>
      </c>
      <c r="I15" t="str">
        <v>Thu Mar 19 2026</v>
      </c>
    </row>
    <row r="16">
      <c r="A16">
        <v>2676</v>
      </c>
      <c r="B16" t="str">
        <v xml:space="preserve">Savita Soni </v>
      </c>
      <c r="C16" t="str">
        <v>Female</v>
      </c>
      <c r="D16">
        <v>50</v>
      </c>
      <c r="E16">
        <v>50</v>
      </c>
      <c r="F16">
        <v>0</v>
      </c>
      <c r="G16" t="str">
        <v>Cash</v>
      </c>
      <c r="H16" t="str">
        <v>Tue Mar 10 2026</v>
      </c>
      <c r="I16" t="str">
        <v>Thu Mar 19 2026</v>
      </c>
    </row>
    <row r="17">
      <c r="A17">
        <v>2451</v>
      </c>
      <c r="B17" t="str">
        <v xml:space="preserve">Prakash Joshi 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Mon Feb 09 2026</v>
      </c>
      <c r="I17" t="str">
        <v>Thu Mar 19 2026</v>
      </c>
    </row>
    <row r="18">
      <c r="A18">
        <v>2722</v>
      </c>
      <c r="B18" t="str">
        <v xml:space="preserve">Manju Chodhary </v>
      </c>
      <c r="C18" t="str">
        <v>Female</v>
      </c>
      <c r="D18">
        <v>50</v>
      </c>
      <c r="E18">
        <v>50</v>
      </c>
      <c r="F18">
        <v>0</v>
      </c>
      <c r="G18" t="str">
        <v>Cash</v>
      </c>
      <c r="H18" t="str">
        <v>Mon Mar 16 2026</v>
      </c>
      <c r="I18" t="str">
        <v>Thu Mar 19 2026</v>
      </c>
    </row>
    <row r="19">
      <c r="A19">
        <v>2652</v>
      </c>
      <c r="B19" t="str">
        <v xml:space="preserve">Ganesh Patel </v>
      </c>
      <c r="C19" t="str">
        <v>Male</v>
      </c>
      <c r="D19">
        <v>50</v>
      </c>
      <c r="E19">
        <v>50</v>
      </c>
      <c r="F19">
        <v>0</v>
      </c>
      <c r="G19" t="str">
        <v>Cash</v>
      </c>
      <c r="H19" t="str">
        <v>Sat Mar 07 2026</v>
      </c>
      <c r="I19" t="str">
        <v>Thu Mar 19 2026</v>
      </c>
    </row>
    <row r="20">
      <c r="A20">
        <v>2619</v>
      </c>
      <c r="B20" t="str">
        <v>Kailash Mathur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Tue Mar 03 2026</v>
      </c>
      <c r="I20" t="str">
        <v>Thu Mar 19 2026</v>
      </c>
    </row>
    <row r="21">
      <c r="A21">
        <v>2695</v>
      </c>
      <c r="B21" t="str">
        <v xml:space="preserve">Kaladevi Sharma </v>
      </c>
      <c r="C21" t="str">
        <v>Female</v>
      </c>
      <c r="D21">
        <v>50</v>
      </c>
      <c r="E21">
        <v>50</v>
      </c>
      <c r="F21">
        <v>0</v>
      </c>
      <c r="G21" t="str">
        <v>Cash</v>
      </c>
      <c r="H21" t="str">
        <v>Fri Mar 13 2026</v>
      </c>
      <c r="I21" t="str">
        <v>Thu Mar 19 2026</v>
      </c>
    </row>
    <row r="22">
      <c r="A22">
        <v>2715</v>
      </c>
      <c r="B22" t="str">
        <v xml:space="preserve">Sangita Sharma </v>
      </c>
      <c r="C22" t="str">
        <v>Female</v>
      </c>
      <c r="D22">
        <v>50</v>
      </c>
      <c r="E22">
        <v>50</v>
      </c>
      <c r="F22">
        <v>0</v>
      </c>
      <c r="G22" t="str">
        <v>Cash</v>
      </c>
      <c r="H22" t="str">
        <v>Mon Mar 16 2026</v>
      </c>
      <c r="I22" t="str">
        <v>Thu Mar 19 2026</v>
      </c>
    </row>
    <row r="23">
      <c r="A23">
        <v>2748</v>
      </c>
      <c r="B23" t="str">
        <v>Govind singh Dodiya</v>
      </c>
      <c r="C23" t="str">
        <v>Male</v>
      </c>
      <c r="D23">
        <v>110</v>
      </c>
      <c r="E23">
        <v>110</v>
      </c>
      <c r="F23">
        <v>0</v>
      </c>
      <c r="G23" t="str">
        <v>Cash</v>
      </c>
      <c r="H23" t="str">
        <v>Thu Mar 19 2026</v>
      </c>
      <c r="I23" t="str">
        <v>Thu Mar 19 2026</v>
      </c>
    </row>
    <row r="24">
      <c r="A24">
        <v>2686</v>
      </c>
      <c r="B24" t="str">
        <v xml:space="preserve">Devilal Kasera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Thu Mar 12 2026</v>
      </c>
      <c r="I24" t="str">
        <v>Thu Mar 19 2026</v>
      </c>
    </row>
    <row r="25">
      <c r="A25">
        <v>2739</v>
      </c>
      <c r="B25" t="str">
        <v xml:space="preserve">Vimla satsangi </v>
      </c>
      <c r="C25" t="str">
        <v>Female</v>
      </c>
      <c r="D25">
        <v>50</v>
      </c>
      <c r="E25">
        <v>50</v>
      </c>
      <c r="F25">
        <v>0</v>
      </c>
      <c r="G25" t="str">
        <v>Cash</v>
      </c>
      <c r="H25" t="str">
        <v>Wed Mar 18 2026</v>
      </c>
      <c r="I25" t="str">
        <v>Thu Mar 19 2026</v>
      </c>
    </row>
    <row r="26">
      <c r="A26">
        <v>2720</v>
      </c>
      <c r="B26" t="str">
        <v>Rajesh Sankhla</v>
      </c>
      <c r="C26" t="str">
        <v>Male</v>
      </c>
      <c r="D26">
        <v>50</v>
      </c>
      <c r="E26">
        <v>50</v>
      </c>
      <c r="F26">
        <v>0</v>
      </c>
      <c r="G26" t="str">
        <v>Cash</v>
      </c>
      <c r="H26" t="str">
        <v>Mon Mar 16 2026</v>
      </c>
      <c r="I26" t="str">
        <v>Thu Mar 19 2026</v>
      </c>
    </row>
    <row r="27">
      <c r="A27">
        <v>2707</v>
      </c>
      <c r="B27" t="str">
        <v xml:space="preserve">Vidhyawati Upadhyay </v>
      </c>
      <c r="C27" t="str">
        <v>Female</v>
      </c>
      <c r="D27">
        <v>70</v>
      </c>
      <c r="E27">
        <v>70</v>
      </c>
      <c r="F27">
        <v>0</v>
      </c>
      <c r="G27" t="str">
        <v>Cash</v>
      </c>
      <c r="H27" t="str">
        <v>Sat Mar 14 2026</v>
      </c>
      <c r="I27" t="str">
        <v>Thu Mar 19 2026</v>
      </c>
    </row>
    <row r="28">
      <c r="A28">
        <v>2697</v>
      </c>
      <c r="B28" t="str">
        <v xml:space="preserve">Sheetal Kushwaha 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Fri Mar 13 2026</v>
      </c>
      <c r="I28" t="str">
        <v>Thu Mar 19 2026</v>
      </c>
    </row>
    <row r="29">
      <c r="A29">
        <v>2452</v>
      </c>
      <c r="B29" t="str">
        <v xml:space="preserve">B. S. Rajput </v>
      </c>
      <c r="C29" t="str">
        <v>Male</v>
      </c>
      <c r="D29">
        <v>50</v>
      </c>
      <c r="E29">
        <v>50</v>
      </c>
      <c r="F29">
        <v>0</v>
      </c>
      <c r="G29" t="str">
        <v>Cash</v>
      </c>
      <c r="H29" t="str">
        <v>Mon Feb 09 2026</v>
      </c>
      <c r="I29" t="str">
        <v>Thu Mar 19 2026</v>
      </c>
    </row>
    <row r="30">
      <c r="A30">
        <v>2669</v>
      </c>
      <c r="B30" t="str">
        <v>Jay Prakash Diya</v>
      </c>
      <c r="C30" t="str">
        <v>Male</v>
      </c>
      <c r="D30">
        <v>50</v>
      </c>
      <c r="E30">
        <v>50</v>
      </c>
      <c r="F30">
        <v>0</v>
      </c>
      <c r="G30" t="str">
        <v>UPI</v>
      </c>
      <c r="H30" t="str">
        <v>Mon Mar 09 2026</v>
      </c>
      <c r="I30" t="str">
        <v>Thu Mar 19 2026</v>
      </c>
    </row>
    <row r="31">
      <c r="A31">
        <v>2633</v>
      </c>
      <c r="B31" t="str">
        <v xml:space="preserve">Resham Baghel </v>
      </c>
      <c r="C31" t="str">
        <v>Female</v>
      </c>
      <c r="D31">
        <v>70</v>
      </c>
      <c r="E31">
        <v>70</v>
      </c>
      <c r="F31">
        <v>0</v>
      </c>
      <c r="G31" t="str">
        <v>Cash</v>
      </c>
      <c r="H31" t="str">
        <v>Thu Mar 05 2026</v>
      </c>
      <c r="I31" t="str">
        <v>Thu Mar 19 2026</v>
      </c>
    </row>
    <row r="32">
      <c r="A32">
        <v>2742</v>
      </c>
      <c r="B32" t="str">
        <v xml:space="preserve">Pinky goswami </v>
      </c>
      <c r="C32" t="str">
        <v>Female</v>
      </c>
      <c r="D32">
        <v>70</v>
      </c>
      <c r="E32">
        <v>70</v>
      </c>
      <c r="F32">
        <v>0</v>
      </c>
      <c r="G32" t="str">
        <v>UPI</v>
      </c>
      <c r="H32" t="str">
        <v>Wed Mar 18 2026</v>
      </c>
      <c r="I32" t="str">
        <v>Thu Mar 19 2026</v>
      </c>
    </row>
    <row r="33">
      <c r="A33">
        <v>2738</v>
      </c>
      <c r="B33" t="str">
        <v>Jyoti koge</v>
      </c>
      <c r="C33" t="str">
        <v>Female</v>
      </c>
      <c r="D33">
        <v>70</v>
      </c>
      <c r="E33">
        <v>70</v>
      </c>
      <c r="F33">
        <v>0</v>
      </c>
      <c r="G33" t="str">
        <v>Cash</v>
      </c>
      <c r="H33" t="str">
        <v>Wed Mar 18 2026</v>
      </c>
      <c r="I33" t="str">
        <v>Thu Mar 19 2026</v>
      </c>
    </row>
    <row r="34">
      <c r="A34">
        <v>2305</v>
      </c>
      <c r="B34" t="str">
        <v xml:space="preserve">Mahendra Varma </v>
      </c>
      <c r="C34" t="str">
        <v>Male</v>
      </c>
      <c r="D34">
        <v>70</v>
      </c>
      <c r="E34">
        <v>70</v>
      </c>
      <c r="F34">
        <v>0</v>
      </c>
      <c r="G34" t="str">
        <v>Cash</v>
      </c>
      <c r="H34" t="str">
        <v>Thu Jan 22 2026</v>
      </c>
      <c r="I34" t="str">
        <v>Thu Mar 19 2026</v>
      </c>
    </row>
    <row r="35">
      <c r="A35">
        <v>2693</v>
      </c>
      <c r="B35" t="str">
        <v xml:space="preserve">Sangita Goyal </v>
      </c>
      <c r="C35" t="str">
        <v>Female</v>
      </c>
      <c r="D35">
        <v>50</v>
      </c>
      <c r="E35">
        <v>50</v>
      </c>
      <c r="F35">
        <v>0</v>
      </c>
      <c r="G35" t="str">
        <v>Cash</v>
      </c>
      <c r="H35" t="str">
        <v>Thu Mar 12 2026</v>
      </c>
      <c r="I35" t="str">
        <v>Thu Mar 19 2026</v>
      </c>
    </row>
    <row r="36">
      <c r="A36">
        <v>2666</v>
      </c>
      <c r="B36" t="str">
        <v>Bharti Bhomik</v>
      </c>
      <c r="C36" t="str">
        <v>Female</v>
      </c>
      <c r="D36">
        <v>70</v>
      </c>
      <c r="E36">
        <v>70</v>
      </c>
      <c r="F36">
        <v>0</v>
      </c>
      <c r="G36" t="str">
        <v>Cash</v>
      </c>
      <c r="H36" t="str">
        <v>Mon Mar 09 2026</v>
      </c>
      <c r="I36" t="str">
        <v>Thu Mar 19 2026</v>
      </c>
    </row>
    <row r="37">
      <c r="A37">
        <v>2735</v>
      </c>
      <c r="B37" t="str">
        <v>Mahesh Bama</v>
      </c>
      <c r="C37" t="str">
        <v>Male</v>
      </c>
      <c r="D37">
        <v>50</v>
      </c>
      <c r="E37">
        <v>50</v>
      </c>
      <c r="F37">
        <v>0</v>
      </c>
      <c r="G37" t="str">
        <v>Cash</v>
      </c>
      <c r="H37" t="str">
        <v>Tue Mar 17 2026</v>
      </c>
      <c r="I37" t="str">
        <v>Thu Mar 19 2026</v>
      </c>
    </row>
    <row r="38">
      <c r="A38">
        <v>2670</v>
      </c>
      <c r="B38" t="str">
        <v>Manjulata Aragwal</v>
      </c>
      <c r="C38" t="str">
        <v>Female</v>
      </c>
      <c r="D38">
        <v>70</v>
      </c>
      <c r="E38">
        <v>70</v>
      </c>
      <c r="F38">
        <v>0</v>
      </c>
      <c r="G38" t="str">
        <v>UPI</v>
      </c>
      <c r="H38" t="str">
        <v>Mon Mar 09 2026</v>
      </c>
      <c r="I38" t="str">
        <v>Thu Mar 19 2026</v>
      </c>
    </row>
    <row r="39">
      <c r="A39">
        <v>2747</v>
      </c>
      <c r="B39" t="str">
        <v>Subhash Patra</v>
      </c>
      <c r="C39" t="str">
        <v>Male</v>
      </c>
      <c r="D39">
        <v>50</v>
      </c>
      <c r="E39">
        <v>50</v>
      </c>
      <c r="F39">
        <v>0</v>
      </c>
      <c r="G39" t="str">
        <v>Cash</v>
      </c>
      <c r="H39" t="str">
        <v>Wed Mar 18 2026</v>
      </c>
      <c r="I39" t="str">
        <v>Thu Mar 19 2026</v>
      </c>
    </row>
    <row r="40">
      <c r="A40">
        <v>2629</v>
      </c>
      <c r="B40" t="str">
        <v>Surjit Adak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Thu Mar 05 2026</v>
      </c>
      <c r="I40" t="str">
        <v>Thu Mar 19 2026</v>
      </c>
    </row>
    <row r="41">
      <c r="A41">
        <v>2749</v>
      </c>
      <c r="B41" t="str">
        <v>Akshay mehta</v>
      </c>
      <c r="C41" t="str">
        <v>Male</v>
      </c>
      <c r="D41">
        <v>110</v>
      </c>
      <c r="E41">
        <v>110</v>
      </c>
      <c r="F41">
        <v>0</v>
      </c>
      <c r="G41" t="str">
        <v>UPI</v>
      </c>
      <c r="H41" t="str">
        <v>Thu Mar 19 2026</v>
      </c>
      <c r="I41" t="str">
        <v>Thu Mar 19 2026</v>
      </c>
    </row>
    <row r="42">
      <c r="A42">
        <v>2730</v>
      </c>
      <c r="B42" t="str">
        <v xml:space="preserve">Anuj Chouhan </v>
      </c>
      <c r="C42" t="str">
        <v>Male</v>
      </c>
      <c r="D42">
        <v>50</v>
      </c>
      <c r="E42">
        <v>50</v>
      </c>
      <c r="F42">
        <v>0</v>
      </c>
      <c r="G42" t="str">
        <v>UPI</v>
      </c>
      <c r="H42" t="str">
        <v>Tue Mar 17 2026</v>
      </c>
      <c r="I42" t="str">
        <v>Thu Mar 19 2026</v>
      </c>
    </row>
    <row r="43">
      <c r="A43">
        <v>2740</v>
      </c>
      <c r="B43" t="str">
        <v xml:space="preserve">Sandeep yadav </v>
      </c>
      <c r="C43" t="str">
        <v>Male</v>
      </c>
      <c r="D43">
        <v>50</v>
      </c>
      <c r="E43">
        <v>50</v>
      </c>
      <c r="F43">
        <v>0</v>
      </c>
      <c r="G43" t="str">
        <v>Cash</v>
      </c>
      <c r="H43" t="str">
        <v>Wed Mar 18 2026</v>
      </c>
      <c r="I43" t="str">
        <v>Thu Mar 19 2026</v>
      </c>
    </row>
    <row r="44">
      <c r="A44">
        <v>2750</v>
      </c>
      <c r="B44" t="str">
        <v xml:space="preserve">Shyam Prajapat </v>
      </c>
      <c r="C44" t="str">
        <v>Male</v>
      </c>
      <c r="D44">
        <v>110</v>
      </c>
      <c r="E44">
        <v>110</v>
      </c>
      <c r="F44">
        <v>0</v>
      </c>
      <c r="G44" t="str">
        <v>UPI</v>
      </c>
      <c r="H44" t="str">
        <v>Thu Mar 19 2026</v>
      </c>
      <c r="I44" t="str">
        <v>Thu Mar 19 2026</v>
      </c>
    </row>
    <row r="45">
      <c r="A45">
        <v>2584</v>
      </c>
      <c r="B45" t="str">
        <v xml:space="preserve">Lokesh Raghuvanshi </v>
      </c>
      <c r="C45" t="str">
        <v>Male</v>
      </c>
      <c r="D45">
        <v>70</v>
      </c>
      <c r="E45">
        <v>70</v>
      </c>
      <c r="F45">
        <v>0</v>
      </c>
      <c r="G45" t="str">
        <v>UPI</v>
      </c>
      <c r="H45" t="str">
        <v>Thu Feb 26 2026</v>
      </c>
      <c r="I45" t="str">
        <v>Thu Mar 19 2026</v>
      </c>
    </row>
    <row r="46">
      <c r="A46">
        <v>2733</v>
      </c>
      <c r="B46" t="str">
        <v xml:space="preserve">Billo Kaushal 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Tue Mar 17 2026</v>
      </c>
      <c r="I46" t="str">
        <v>Thu Mar 19 2026</v>
      </c>
    </row>
    <row r="47">
      <c r="A47">
        <v>2718</v>
      </c>
      <c r="B47" t="str">
        <v>Rajesh Jain</v>
      </c>
      <c r="C47" t="str">
        <v>Male</v>
      </c>
      <c r="D47">
        <v>50</v>
      </c>
      <c r="E47">
        <v>50</v>
      </c>
      <c r="F47">
        <v>0</v>
      </c>
      <c r="G47" t="str">
        <v>Cash</v>
      </c>
      <c r="H47" t="str">
        <v>Mon Mar 16 2026</v>
      </c>
      <c r="I47" t="str">
        <v>Thu Mar 19 2026</v>
      </c>
    </row>
    <row r="48">
      <c r="A48">
        <v>2744</v>
      </c>
      <c r="B48" t="str">
        <v xml:space="preserve">Jagdish Kumawat </v>
      </c>
      <c r="C48" t="str">
        <v>Male</v>
      </c>
      <c r="D48">
        <v>50</v>
      </c>
      <c r="E48">
        <v>50</v>
      </c>
      <c r="F48">
        <v>0</v>
      </c>
      <c r="G48" t="str">
        <v>Cash</v>
      </c>
      <c r="H48" t="str">
        <v>Wed Mar 18 2026</v>
      </c>
      <c r="I48" t="str">
        <v>Thu Mar 19 2026</v>
      </c>
    </row>
    <row r="49">
      <c r="A49">
        <v>2719</v>
      </c>
      <c r="B49" t="str">
        <v xml:space="preserve">Prabha </v>
      </c>
      <c r="C49" t="str">
        <v>Female</v>
      </c>
      <c r="D49">
        <v>50</v>
      </c>
      <c r="E49">
        <v>50</v>
      </c>
      <c r="F49">
        <v>0</v>
      </c>
      <c r="G49" t="str">
        <v>Cash</v>
      </c>
      <c r="H49" t="str">
        <v>Mon Mar 16 2026</v>
      </c>
      <c r="I49" t="str">
        <v>Thu Mar 19 2026</v>
      </c>
    </row>
    <row r="50">
      <c r="A50">
        <v>2745</v>
      </c>
      <c r="B50" t="str">
        <v xml:space="preserve">Saroj Thakur 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Wed Mar 18 2026</v>
      </c>
      <c r="I50" t="str">
        <v>Thu Mar 19 2026</v>
      </c>
    </row>
    <row r="51">
      <c r="A51">
        <v>2624</v>
      </c>
      <c r="B51" t="str">
        <v xml:space="preserve">Mukesh Chauhan </v>
      </c>
      <c r="C51" t="str">
        <v>Male</v>
      </c>
      <c r="D51">
        <v>50</v>
      </c>
      <c r="E51">
        <v>50</v>
      </c>
      <c r="F51">
        <v>0</v>
      </c>
      <c r="G51" t="str">
        <v>UPI</v>
      </c>
      <c r="H51" t="str">
        <v>Thu Mar 05 2026</v>
      </c>
      <c r="I51" t="str">
        <v>Thu Mar 19 2026</v>
      </c>
    </row>
    <row r="52">
      <c r="A52">
        <v>2456</v>
      </c>
      <c r="B52" t="str">
        <v xml:space="preserve">D. P. Goyal </v>
      </c>
      <c r="C52" t="str">
        <v>Male</v>
      </c>
      <c r="D52">
        <v>50</v>
      </c>
      <c r="E52">
        <v>50</v>
      </c>
      <c r="F52">
        <v>0</v>
      </c>
      <c r="G52" t="str">
        <v>Cash</v>
      </c>
      <c r="H52" t="str">
        <v>Mon Feb 09 2026</v>
      </c>
      <c r="I52" t="str">
        <v>Thu Mar 19 2026</v>
      </c>
    </row>
    <row r="53">
      <c r="A53">
        <v>2682</v>
      </c>
      <c r="B53" t="str">
        <v xml:space="preserve">Munni Goyal </v>
      </c>
      <c r="C53" t="str">
        <v>Female</v>
      </c>
      <c r="D53">
        <v>70</v>
      </c>
      <c r="E53">
        <v>70</v>
      </c>
      <c r="F53">
        <v>0</v>
      </c>
      <c r="G53" t="str">
        <v>Cash</v>
      </c>
      <c r="H53" t="str">
        <v>Tue Mar 10 2026</v>
      </c>
      <c r="I53" t="str">
        <v>Thu Mar 19 2026</v>
      </c>
    </row>
    <row r="54">
      <c r="A54">
        <v>1928</v>
      </c>
      <c r="B54" t="str">
        <v xml:space="preserve">Sushma Kapoor </v>
      </c>
      <c r="C54" t="str">
        <v>Female</v>
      </c>
      <c r="D54">
        <v>50</v>
      </c>
      <c r="E54">
        <v>0</v>
      </c>
      <c r="F54">
        <v>50</v>
      </c>
      <c r="G54" t="str">
        <v>Cash</v>
      </c>
      <c r="H54" t="str">
        <v>Tue Dec 02 2025</v>
      </c>
      <c r="I54" t="str">
        <v>Thu Mar 19 2026</v>
      </c>
    </row>
    <row r="55">
      <c r="A55">
        <v>2711</v>
      </c>
      <c r="B55" t="str">
        <v xml:space="preserve">Krishnakant Sharma </v>
      </c>
      <c r="C55" t="str">
        <v>Male</v>
      </c>
      <c r="D55">
        <v>50</v>
      </c>
      <c r="E55">
        <v>50</v>
      </c>
      <c r="F55">
        <v>0</v>
      </c>
      <c r="G55" t="str">
        <v>UPI</v>
      </c>
      <c r="H55" t="str">
        <v>Sat Mar 14 2026</v>
      </c>
      <c r="I55" t="str">
        <v>Thu Mar 19 2026</v>
      </c>
    </row>
    <row r="56">
      <c r="A56">
        <v>2751</v>
      </c>
      <c r="B56" t="str">
        <v xml:space="preserve">Murlidhar Thakur </v>
      </c>
      <c r="C56" t="str">
        <v>Male</v>
      </c>
      <c r="D56">
        <v>110</v>
      </c>
      <c r="E56">
        <v>110</v>
      </c>
      <c r="F56">
        <v>0</v>
      </c>
      <c r="G56" t="str">
        <v>Cash</v>
      </c>
      <c r="H56" t="str">
        <v>Thu Mar 19 2026</v>
      </c>
      <c r="I56" t="str">
        <v>Thu Mar 19 2026</v>
      </c>
    </row>
    <row r="57">
      <c r="A57">
        <v>2736</v>
      </c>
      <c r="B57" t="str">
        <v xml:space="preserve">Jitendra Chauhan </v>
      </c>
      <c r="C57" t="str">
        <v>Male</v>
      </c>
      <c r="D57">
        <v>50</v>
      </c>
      <c r="E57">
        <v>50</v>
      </c>
      <c r="F57">
        <v>0</v>
      </c>
      <c r="G57" t="str">
        <v>UPI</v>
      </c>
      <c r="H57" t="str">
        <v>Tue Mar 17 2026</v>
      </c>
      <c r="I57" t="str">
        <v>Thu Mar 19 2026</v>
      </c>
    </row>
    <row r="58">
      <c r="A58">
        <v>1437</v>
      </c>
      <c r="B58" t="str">
        <v>Suraj Dharve</v>
      </c>
      <c r="C58" t="str">
        <v>Female</v>
      </c>
      <c r="D58">
        <v>50</v>
      </c>
      <c r="E58">
        <v>0</v>
      </c>
      <c r="F58">
        <v>50</v>
      </c>
      <c r="G58" t="str">
        <v>Cash</v>
      </c>
      <c r="H58" t="str">
        <v>Fri Sep 19 2025</v>
      </c>
      <c r="I58" t="str">
        <v>Thu Mar 19 2026</v>
      </c>
    </row>
    <row r="59">
      <c r="A59">
        <v>870</v>
      </c>
      <c r="B59" t="str">
        <v>Vinita Pancholi</v>
      </c>
      <c r="C59" t="str">
        <v>Female</v>
      </c>
      <c r="D59">
        <v>50</v>
      </c>
      <c r="E59">
        <v>0</v>
      </c>
      <c r="F59">
        <v>50</v>
      </c>
      <c r="G59" t="str">
        <v>Cash</v>
      </c>
      <c r="H59" t="str">
        <v>Sat Jul 05 2025</v>
      </c>
      <c r="I59" t="str">
        <v>Thu Mar 19 2026</v>
      </c>
    </row>
    <row r="60">
      <c r="A60">
        <v>2648</v>
      </c>
      <c r="B60" t="str">
        <v xml:space="preserve">Paramvir Singh </v>
      </c>
      <c r="C60" t="str">
        <v>Male</v>
      </c>
      <c r="D60">
        <v>50</v>
      </c>
      <c r="E60">
        <v>50</v>
      </c>
      <c r="F60">
        <v>0</v>
      </c>
      <c r="G60" t="str">
        <v>UPI</v>
      </c>
      <c r="H60" t="str">
        <v>Fri Mar 06 2026</v>
      </c>
      <c r="I60" t="str">
        <v>Thu Mar 19 2026</v>
      </c>
    </row>
    <row r="61">
      <c r="A61">
        <v>2723</v>
      </c>
      <c r="B61" t="str">
        <v>Sangeeta Negi</v>
      </c>
      <c r="C61" t="str">
        <v>Female</v>
      </c>
      <c r="D61">
        <v>50</v>
      </c>
      <c r="E61">
        <v>50</v>
      </c>
      <c r="F61">
        <v>0</v>
      </c>
      <c r="G61" t="str">
        <v>Cash</v>
      </c>
      <c r="H61" t="str">
        <v>Mon Mar 16 2026</v>
      </c>
      <c r="I61" t="str">
        <v>Thu Mar 19 2026</v>
      </c>
    </row>
  </sheetData>
  <ignoredErrors>
    <ignoredError numberStoredAsText="1" sqref="A1:N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74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Wed Mar 18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SUM(D10:D74)</f>
      </c>
      <c r="B7" t="e">
        <f t="array" ref="B7">SUM(E10:E74)</f>
      </c>
      <c r="C7" t="e">
        <f t="array" ref="C7">SUMIF(G10:G74, "Cash", E10:E74)</f>
      </c>
      <c r="D7" t="e">
        <f t="array" ref="D7">SUMIF(G10:G74, "UPI", E10:E74)</f>
      </c>
      <c r="E7" t="e">
        <f t="array" ref="E7">COUNTA(G10:G74)</f>
      </c>
      <c r="F7" t="e">
        <f t="array" ref="F7">COUNTIF(G10:G74, "Cash")</f>
      </c>
      <c r="G7" t="e">
        <f t="array" ref="G7">COUNTIF(G10:G74, "UPI")</f>
      </c>
      <c r="H7" t="e">
        <f t="array" ref="H7">SUM(F10:F74)</f>
      </c>
      <c r="I7" t="e">
        <f t="array" ref="I7">COUNT(FILTER(F10:F74, F10:F74=D10:D74))</f>
      </c>
      <c r="J7" t="e">
        <f t="array" ref="J7">IFERROR(ROWS(UNIQUE(FILTER(A10:A74,C10:C74="Male"))),0)</f>
      </c>
      <c r="K7" t="e">
        <f t="array" ref="K7">IFERROR(ROWS(UNIQUE(FILTER(A10:A74,C10:C74="Female"))),0)</f>
      </c>
      <c r="L7" t="e">
        <f t="array" ref="L7">IFERROR(ROWS(UNIQUE(FILTER(A10:A74,H10:H74=I10))),0)</f>
      </c>
      <c r="M7" t="e">
        <f t="array" ref="M7">IFERROR(ROWS(UNIQUE(FILTER(A10:A74,H10:H74&lt;&gt;I10))),0)</f>
      </c>
      <c r="N7" t="e">
        <f t="array" ref="N7">IFERROR(ROWS(UNIQUE(A10:A74)),0)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2726</v>
      </c>
      <c r="B10" t="str">
        <v>Gayan Singh pal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Tue Mar 17 2026</v>
      </c>
      <c r="I10" t="str">
        <v>Wed Mar 18 2026</v>
      </c>
    </row>
    <row r="11">
      <c r="A11">
        <v>2700</v>
      </c>
      <c r="B11" t="str">
        <v xml:space="preserve">Kaladevi Lodhi </v>
      </c>
      <c r="C11" t="str">
        <v>Female</v>
      </c>
      <c r="D11">
        <v>50</v>
      </c>
      <c r="E11">
        <v>50</v>
      </c>
      <c r="F11">
        <v>0</v>
      </c>
      <c r="G11" t="str">
        <v>UPI</v>
      </c>
      <c r="H11" t="str">
        <v>Fri Mar 13 2026</v>
      </c>
      <c r="I11" t="str">
        <v>Wed Mar 18 2026</v>
      </c>
    </row>
    <row r="12">
      <c r="A12">
        <v>2732</v>
      </c>
      <c r="B12" t="str">
        <v xml:space="preserve">Chahat Garg </v>
      </c>
      <c r="C12" t="str">
        <v>Female</v>
      </c>
      <c r="D12">
        <v>50</v>
      </c>
      <c r="E12">
        <v>50</v>
      </c>
      <c r="F12">
        <v>0</v>
      </c>
      <c r="G12" t="str">
        <v>UPI</v>
      </c>
      <c r="H12" t="str">
        <v>Tue Mar 17 2026</v>
      </c>
      <c r="I12" t="str">
        <v>Wed Mar 18 2026</v>
      </c>
    </row>
    <row r="13">
      <c r="A13">
        <v>2722</v>
      </c>
      <c r="B13" t="str">
        <v xml:space="preserve">Manju Chodhary </v>
      </c>
      <c r="C13" t="str">
        <v>Female</v>
      </c>
      <c r="D13">
        <v>50</v>
      </c>
      <c r="E13">
        <v>50</v>
      </c>
      <c r="F13">
        <v>0</v>
      </c>
      <c r="G13" t="str">
        <v>Cash</v>
      </c>
      <c r="H13" t="str">
        <v>Mon Mar 16 2026</v>
      </c>
      <c r="I13" t="str">
        <v>Wed Mar 18 2026</v>
      </c>
    </row>
    <row r="14">
      <c r="A14">
        <v>2697</v>
      </c>
      <c r="B14" t="str">
        <v xml:space="preserve">Sheetal Kushwaha </v>
      </c>
      <c r="C14" t="str">
        <v>Female</v>
      </c>
      <c r="D14">
        <v>50</v>
      </c>
      <c r="E14">
        <v>50</v>
      </c>
      <c r="F14">
        <v>0</v>
      </c>
      <c r="G14" t="str">
        <v>Cash</v>
      </c>
      <c r="H14" t="str">
        <v>Fri Mar 13 2026</v>
      </c>
      <c r="I14" t="str">
        <v>Wed Mar 18 2026</v>
      </c>
    </row>
    <row r="15">
      <c r="A15">
        <v>2669</v>
      </c>
      <c r="B15" t="str">
        <v>Jay Prakash Diya</v>
      </c>
      <c r="C15" t="str">
        <v>Male</v>
      </c>
      <c r="D15">
        <v>50</v>
      </c>
      <c r="E15">
        <v>50</v>
      </c>
      <c r="F15">
        <v>0</v>
      </c>
      <c r="G15" t="str">
        <v>UPI</v>
      </c>
      <c r="H15" t="str">
        <v>Mon Mar 09 2026</v>
      </c>
      <c r="I15" t="str">
        <v>Wed Mar 18 2026</v>
      </c>
    </row>
    <row r="16">
      <c r="A16">
        <v>2696</v>
      </c>
      <c r="B16" t="str">
        <v>Giriraj Shrimal</v>
      </c>
      <c r="C16" t="str">
        <v>Male</v>
      </c>
      <c r="D16">
        <v>50</v>
      </c>
      <c r="E16">
        <v>50</v>
      </c>
      <c r="F16">
        <v>0</v>
      </c>
      <c r="G16" t="str">
        <v>UPI</v>
      </c>
      <c r="H16" t="str">
        <v>Fri Mar 13 2026</v>
      </c>
      <c r="I16" t="str">
        <v>Wed Mar 18 2026</v>
      </c>
    </row>
    <row r="17">
      <c r="A17">
        <v>2728</v>
      </c>
      <c r="B17" t="str">
        <v>Jaswindar narang</v>
      </c>
      <c r="C17" t="str">
        <v>Male</v>
      </c>
      <c r="D17">
        <v>50</v>
      </c>
      <c r="E17">
        <v>50</v>
      </c>
      <c r="F17">
        <v>0</v>
      </c>
      <c r="G17" t="str">
        <v>UPI</v>
      </c>
      <c r="H17" t="str">
        <v>Tue Mar 17 2026</v>
      </c>
      <c r="I17" t="str">
        <v>Wed Mar 18 2026</v>
      </c>
    </row>
    <row r="18">
      <c r="A18">
        <v>1645</v>
      </c>
      <c r="B18" t="str">
        <v>Jaiprakash Mishra</v>
      </c>
      <c r="C18" t="str">
        <v>Male</v>
      </c>
      <c r="D18">
        <v>50</v>
      </c>
      <c r="E18">
        <v>50</v>
      </c>
      <c r="F18">
        <v>0</v>
      </c>
      <c r="G18" t="str">
        <v>Cash</v>
      </c>
      <c r="H18" t="str">
        <v>Mon Oct 27 2025</v>
      </c>
      <c r="I18" t="str">
        <v>Wed Mar 18 2026</v>
      </c>
    </row>
    <row r="19">
      <c r="A19">
        <v>2662</v>
      </c>
      <c r="B19" t="str">
        <v xml:space="preserve">Gajendra Khare </v>
      </c>
      <c r="C19" t="str">
        <v>Male</v>
      </c>
      <c r="D19">
        <v>50</v>
      </c>
      <c r="E19">
        <v>50</v>
      </c>
      <c r="F19">
        <v>0</v>
      </c>
      <c r="G19" t="str">
        <v>Cash</v>
      </c>
      <c r="H19" t="str">
        <v>Mon Mar 09 2026</v>
      </c>
      <c r="I19" t="str">
        <v>Wed Mar 18 2026</v>
      </c>
    </row>
    <row r="20">
      <c r="A20">
        <v>2684</v>
      </c>
      <c r="B20" t="str">
        <v xml:space="preserve">Pooja nariya </v>
      </c>
      <c r="C20" t="str">
        <v>Female</v>
      </c>
      <c r="D20">
        <v>50</v>
      </c>
      <c r="E20">
        <v>50</v>
      </c>
      <c r="F20">
        <v>0</v>
      </c>
      <c r="G20" t="str">
        <v>Cash</v>
      </c>
      <c r="H20" t="str">
        <v>Wed Mar 11 2026</v>
      </c>
      <c r="I20" t="str">
        <v>Wed Mar 18 2026</v>
      </c>
    </row>
    <row r="21">
      <c r="A21">
        <v>2584</v>
      </c>
      <c r="B21" t="str">
        <v xml:space="preserve">Lokesh Raghuvanshi </v>
      </c>
      <c r="C21" t="str">
        <v>Male</v>
      </c>
      <c r="D21">
        <v>70</v>
      </c>
      <c r="E21">
        <v>70</v>
      </c>
      <c r="F21">
        <v>0</v>
      </c>
      <c r="G21" t="str">
        <v>UPI</v>
      </c>
      <c r="H21" t="str">
        <v>Thu Feb 26 2026</v>
      </c>
      <c r="I21" t="str">
        <v>Wed Mar 18 2026</v>
      </c>
    </row>
    <row r="22">
      <c r="A22">
        <v>1917</v>
      </c>
      <c r="B22" t="str">
        <v xml:space="preserve">Ramesh Sharma </v>
      </c>
      <c r="C22" t="str">
        <v>Male</v>
      </c>
      <c r="D22">
        <v>50</v>
      </c>
      <c r="E22">
        <v>50</v>
      </c>
      <c r="F22">
        <v>0</v>
      </c>
      <c r="G22" t="str">
        <v>Cash</v>
      </c>
      <c r="H22" t="str">
        <v>Mon Dec 01 2025</v>
      </c>
      <c r="I22" t="str">
        <v>Wed Mar 18 2026</v>
      </c>
    </row>
    <row r="23">
      <c r="A23">
        <v>2224</v>
      </c>
      <c r="B23" t="str">
        <v xml:space="preserve">Vidhya Maheshwari </v>
      </c>
      <c r="C23" t="str">
        <v>Female</v>
      </c>
      <c r="D23">
        <v>50</v>
      </c>
      <c r="E23">
        <v>50</v>
      </c>
      <c r="F23">
        <v>0</v>
      </c>
      <c r="G23" t="str">
        <v>Cash</v>
      </c>
      <c r="H23" t="str">
        <v>Tue Jan 13 2026</v>
      </c>
      <c r="I23" t="str">
        <v>Wed Mar 18 2026</v>
      </c>
    </row>
    <row r="24">
      <c r="A24">
        <v>2289</v>
      </c>
      <c r="B24" t="str">
        <v xml:space="preserve">Jaibir Singh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Tue Jan 20 2026</v>
      </c>
      <c r="I24" t="str">
        <v>Wed Mar 18 2026</v>
      </c>
    </row>
    <row r="25">
      <c r="A25">
        <v>2729</v>
      </c>
      <c r="B25" t="str">
        <v>Madanlal Aerwal</v>
      </c>
      <c r="C25" t="str">
        <v>Male</v>
      </c>
      <c r="D25">
        <v>50</v>
      </c>
      <c r="E25">
        <v>50</v>
      </c>
      <c r="F25">
        <v>0</v>
      </c>
      <c r="G25" t="str">
        <v>Cash</v>
      </c>
      <c r="H25" t="str">
        <v>Tue Mar 17 2026</v>
      </c>
      <c r="I25" t="str">
        <v>Wed Mar 18 2026</v>
      </c>
    </row>
    <row r="26">
      <c r="A26">
        <v>2642</v>
      </c>
      <c r="B26" t="str">
        <v>Iti Jain</v>
      </c>
      <c r="C26" t="str">
        <v>Female</v>
      </c>
      <c r="D26">
        <v>50</v>
      </c>
      <c r="E26">
        <v>50</v>
      </c>
      <c r="F26">
        <v>0</v>
      </c>
      <c r="G26" t="str">
        <v>Cash</v>
      </c>
      <c r="H26" t="str">
        <v>Fri Mar 06 2026</v>
      </c>
      <c r="I26" t="str">
        <v>Wed Mar 18 2026</v>
      </c>
    </row>
    <row r="27">
      <c r="A27">
        <v>2713</v>
      </c>
      <c r="B27" t="str">
        <v xml:space="preserve">Ketan kshirsagar </v>
      </c>
      <c r="C27" t="str">
        <v>Male</v>
      </c>
      <c r="D27">
        <v>50</v>
      </c>
      <c r="E27">
        <v>50</v>
      </c>
      <c r="F27">
        <v>0</v>
      </c>
      <c r="G27" t="str">
        <v>UPI</v>
      </c>
      <c r="H27" t="str">
        <v>Mon Mar 16 2026</v>
      </c>
      <c r="I27" t="str">
        <v>Wed Mar 18 2026</v>
      </c>
    </row>
    <row r="28">
      <c r="A28">
        <v>2676</v>
      </c>
      <c r="B28" t="str">
        <v xml:space="preserve">Savita Soni 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Tue Mar 10 2026</v>
      </c>
      <c r="I28" t="str">
        <v>Wed Mar 18 2026</v>
      </c>
    </row>
    <row r="29">
      <c r="A29">
        <v>2451</v>
      </c>
      <c r="B29" t="str">
        <v xml:space="preserve">Prakash Joshi </v>
      </c>
      <c r="C29" t="str">
        <v>Male</v>
      </c>
      <c r="D29">
        <v>70</v>
      </c>
      <c r="E29">
        <v>70</v>
      </c>
      <c r="F29">
        <v>0</v>
      </c>
      <c r="G29" t="str">
        <v>Cash</v>
      </c>
      <c r="H29" t="str">
        <v>Mon Feb 09 2026</v>
      </c>
      <c r="I29" t="str">
        <v>Wed Mar 18 2026</v>
      </c>
    </row>
    <row r="30">
      <c r="A30">
        <v>2687</v>
      </c>
      <c r="B30" t="str">
        <v xml:space="preserve">Hempushpa Chouhan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Thu Mar 12 2026</v>
      </c>
      <c r="I30" t="str">
        <v>Wed Mar 18 2026</v>
      </c>
    </row>
    <row r="31">
      <c r="A31">
        <v>2705</v>
      </c>
      <c r="B31" t="str">
        <v>Phoolbai thariya</v>
      </c>
      <c r="C31" t="str">
        <v>Female</v>
      </c>
      <c r="D31">
        <v>50</v>
      </c>
      <c r="E31">
        <v>50</v>
      </c>
      <c r="F31">
        <v>0</v>
      </c>
      <c r="G31" t="str">
        <v>Cash</v>
      </c>
      <c r="H31" t="str">
        <v>Sat Mar 14 2026</v>
      </c>
      <c r="I31" t="str">
        <v>Wed Mar 18 2026</v>
      </c>
    </row>
    <row r="32">
      <c r="A32">
        <v>2656</v>
      </c>
      <c r="B32" t="str">
        <v xml:space="preserve">Ashish Varma </v>
      </c>
      <c r="C32" t="str">
        <v>Male</v>
      </c>
      <c r="D32">
        <v>50</v>
      </c>
      <c r="E32">
        <v>50</v>
      </c>
      <c r="F32">
        <v>0</v>
      </c>
      <c r="G32" t="str">
        <v>Cash</v>
      </c>
      <c r="H32" t="str">
        <v>Sat Mar 07 2026</v>
      </c>
      <c r="I32" t="str">
        <v>Wed Mar 18 2026</v>
      </c>
    </row>
    <row r="33">
      <c r="A33">
        <v>2652</v>
      </c>
      <c r="B33" t="str">
        <v xml:space="preserve">Ganesh Patel </v>
      </c>
      <c r="C33" t="str">
        <v>Male</v>
      </c>
      <c r="D33">
        <v>50</v>
      </c>
      <c r="E33">
        <v>50</v>
      </c>
      <c r="F33">
        <v>0</v>
      </c>
      <c r="G33" t="str">
        <v>Cash</v>
      </c>
      <c r="H33" t="str">
        <v>Sat Mar 07 2026</v>
      </c>
      <c r="I33" t="str">
        <v>Wed Mar 18 2026</v>
      </c>
    </row>
    <row r="34">
      <c r="A34">
        <v>2735</v>
      </c>
      <c r="B34" t="str">
        <v>Mahesh Bama</v>
      </c>
      <c r="C34" t="str">
        <v>Male</v>
      </c>
      <c r="D34">
        <v>50</v>
      </c>
      <c r="E34">
        <v>50</v>
      </c>
      <c r="F34">
        <v>0</v>
      </c>
      <c r="G34" t="str">
        <v>Cash</v>
      </c>
      <c r="H34" t="str">
        <v>Tue Mar 17 2026</v>
      </c>
      <c r="I34" t="str">
        <v>Wed Mar 18 2026</v>
      </c>
    </row>
    <row r="35">
      <c r="A35">
        <v>2737</v>
      </c>
      <c r="B35" t="str">
        <v>Kailash soni</v>
      </c>
      <c r="C35" t="str">
        <v>Male</v>
      </c>
      <c r="D35">
        <v>110</v>
      </c>
      <c r="E35">
        <v>110</v>
      </c>
      <c r="F35">
        <v>0</v>
      </c>
      <c r="G35" t="str">
        <v>Cash</v>
      </c>
      <c r="H35" t="str">
        <v>Wed Mar 18 2026</v>
      </c>
      <c r="I35" t="str">
        <v>Wed Mar 18 2026</v>
      </c>
    </row>
    <row r="36">
      <c r="A36">
        <v>2738</v>
      </c>
      <c r="B36" t="str">
        <v>Jyoti koge</v>
      </c>
      <c r="C36" t="str">
        <v>Female</v>
      </c>
      <c r="D36">
        <v>130</v>
      </c>
      <c r="E36">
        <v>130</v>
      </c>
      <c r="F36">
        <v>0</v>
      </c>
      <c r="G36" t="str">
        <v>Cash</v>
      </c>
      <c r="H36" t="str">
        <v>Wed Mar 18 2026</v>
      </c>
      <c r="I36" t="str">
        <v>Wed Mar 18 2026</v>
      </c>
    </row>
    <row r="37">
      <c r="A37">
        <v>2739</v>
      </c>
      <c r="B37" t="str">
        <v xml:space="preserve">Vimla satsangi </v>
      </c>
      <c r="C37" t="str">
        <v>Female</v>
      </c>
      <c r="D37">
        <v>110</v>
      </c>
      <c r="E37">
        <v>110</v>
      </c>
      <c r="F37">
        <v>0</v>
      </c>
      <c r="G37" t="str">
        <v>Cash</v>
      </c>
      <c r="H37" t="str">
        <v>Wed Mar 18 2026</v>
      </c>
      <c r="I37" t="str">
        <v>Wed Mar 18 2026</v>
      </c>
    </row>
    <row r="38">
      <c r="A38">
        <v>2305</v>
      </c>
      <c r="B38" t="str">
        <v xml:space="preserve">Mahendra Varma </v>
      </c>
      <c r="C38" t="str">
        <v>Male</v>
      </c>
      <c r="D38">
        <v>70</v>
      </c>
      <c r="E38">
        <v>70</v>
      </c>
      <c r="F38">
        <v>0</v>
      </c>
      <c r="G38" t="str">
        <v>Cash</v>
      </c>
      <c r="H38" t="str">
        <v>Thu Jan 22 2026</v>
      </c>
      <c r="I38" t="str">
        <v>Wed Mar 18 2026</v>
      </c>
    </row>
    <row r="39">
      <c r="A39">
        <v>2740</v>
      </c>
      <c r="B39" t="str">
        <v xml:space="preserve">Sandeep yadav </v>
      </c>
      <c r="C39" t="str">
        <v>Male</v>
      </c>
      <c r="D39">
        <v>110</v>
      </c>
      <c r="E39">
        <v>110</v>
      </c>
      <c r="F39">
        <v>0</v>
      </c>
      <c r="G39" t="str">
        <v>UPI</v>
      </c>
      <c r="H39" t="str">
        <v>Wed Mar 18 2026</v>
      </c>
      <c r="I39" t="str">
        <v>Wed Mar 18 2026</v>
      </c>
    </row>
    <row r="40">
      <c r="A40">
        <v>2741</v>
      </c>
      <c r="B40" t="str">
        <v>Pinky parmar</v>
      </c>
      <c r="C40" t="str">
        <v>Female</v>
      </c>
      <c r="D40">
        <v>110</v>
      </c>
      <c r="E40">
        <v>110</v>
      </c>
      <c r="F40">
        <v>0</v>
      </c>
      <c r="G40" t="str">
        <v>Cash</v>
      </c>
      <c r="H40" t="str">
        <v>Wed Mar 18 2026</v>
      </c>
      <c r="I40" t="str">
        <v>Wed Mar 18 2026</v>
      </c>
    </row>
    <row r="41">
      <c r="A41">
        <v>2633</v>
      </c>
      <c r="B41" t="str">
        <v xml:space="preserve">Resham Baghel </v>
      </c>
      <c r="C41" t="str">
        <v>Female</v>
      </c>
      <c r="D41">
        <v>50</v>
      </c>
      <c r="E41">
        <v>50</v>
      </c>
      <c r="F41">
        <v>0</v>
      </c>
      <c r="G41" t="str">
        <v>Cash</v>
      </c>
      <c r="H41" t="str">
        <v>Thu Mar 05 2026</v>
      </c>
      <c r="I41" t="str">
        <v>Wed Mar 18 2026</v>
      </c>
    </row>
    <row r="42">
      <c r="A42">
        <v>2730</v>
      </c>
      <c r="B42" t="str">
        <v xml:space="preserve">Anuj Chouhan </v>
      </c>
      <c r="C42" t="str">
        <v>Male</v>
      </c>
      <c r="D42">
        <v>50</v>
      </c>
      <c r="E42">
        <v>50</v>
      </c>
      <c r="F42">
        <v>0</v>
      </c>
      <c r="G42" t="str">
        <v>Cash</v>
      </c>
      <c r="H42" t="str">
        <v>Tue Mar 17 2026</v>
      </c>
      <c r="I42" t="str">
        <v>Wed Mar 18 2026</v>
      </c>
    </row>
    <row r="43">
      <c r="A43">
        <v>2678</v>
      </c>
      <c r="B43" t="str">
        <v>Mangesh Rai</v>
      </c>
      <c r="C43" t="str">
        <v>Male</v>
      </c>
      <c r="D43">
        <v>50</v>
      </c>
      <c r="E43">
        <v>50</v>
      </c>
      <c r="F43">
        <v>0</v>
      </c>
      <c r="G43" t="str">
        <v>Cash</v>
      </c>
      <c r="H43" t="str">
        <v>Tue Mar 10 2026</v>
      </c>
      <c r="I43" t="str">
        <v>Wed Mar 18 2026</v>
      </c>
    </row>
    <row r="44">
      <c r="A44">
        <v>2717</v>
      </c>
      <c r="B44" t="str">
        <v xml:space="preserve">Ashish Sharma </v>
      </c>
      <c r="C44" t="str">
        <v>Male</v>
      </c>
      <c r="D44">
        <v>50</v>
      </c>
      <c r="E44">
        <v>50</v>
      </c>
      <c r="F44">
        <v>0</v>
      </c>
      <c r="G44" t="str">
        <v>UPI</v>
      </c>
      <c r="H44" t="str">
        <v>Mon Mar 16 2026</v>
      </c>
      <c r="I44" t="str">
        <v>Wed Mar 18 2026</v>
      </c>
    </row>
    <row r="45">
      <c r="A45">
        <v>2524</v>
      </c>
      <c r="B45" t="str">
        <v xml:space="preserve">Govind Gupta </v>
      </c>
      <c r="C45" t="str">
        <v>Male</v>
      </c>
      <c r="D45">
        <v>50</v>
      </c>
      <c r="E45">
        <v>50</v>
      </c>
      <c r="F45">
        <v>0</v>
      </c>
      <c r="G45" t="str">
        <v>Cash</v>
      </c>
      <c r="H45" t="str">
        <v>Wed Feb 18 2026</v>
      </c>
      <c r="I45" t="str">
        <v>Wed Mar 18 2026</v>
      </c>
    </row>
    <row r="46">
      <c r="A46">
        <v>2686</v>
      </c>
      <c r="B46" t="str">
        <v xml:space="preserve">Devilal Kasera </v>
      </c>
      <c r="C46" t="str">
        <v>Male</v>
      </c>
      <c r="D46">
        <v>50</v>
      </c>
      <c r="E46">
        <v>50</v>
      </c>
      <c r="F46">
        <v>0</v>
      </c>
      <c r="G46" t="str">
        <v>Cash</v>
      </c>
      <c r="H46" t="str">
        <v>Thu Mar 12 2026</v>
      </c>
      <c r="I46" t="str">
        <v>Wed Mar 18 2026</v>
      </c>
    </row>
    <row r="47">
      <c r="A47">
        <v>2646</v>
      </c>
      <c r="B47" t="str">
        <v xml:space="preserve">Mira Varma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Fri Mar 06 2026</v>
      </c>
      <c r="I47" t="str">
        <v>Wed Mar 18 2026</v>
      </c>
    </row>
    <row r="48">
      <c r="A48">
        <v>2629</v>
      </c>
      <c r="B48" t="str">
        <v>Surjit Adak</v>
      </c>
      <c r="C48" t="str">
        <v>Male</v>
      </c>
      <c r="D48">
        <v>50</v>
      </c>
      <c r="E48">
        <v>50</v>
      </c>
      <c r="F48">
        <v>0</v>
      </c>
      <c r="G48" t="str">
        <v>Cash</v>
      </c>
      <c r="H48" t="str">
        <v>Thu Mar 05 2026</v>
      </c>
      <c r="I48" t="str">
        <v>Wed Mar 18 2026</v>
      </c>
    </row>
    <row r="49">
      <c r="A49">
        <v>2644</v>
      </c>
      <c r="B49" t="str">
        <v>Laxmi Sambhariya</v>
      </c>
      <c r="C49" t="str">
        <v>Female</v>
      </c>
      <c r="D49">
        <v>50</v>
      </c>
      <c r="E49">
        <v>50</v>
      </c>
      <c r="F49">
        <v>0</v>
      </c>
      <c r="G49" t="str">
        <v>Cash</v>
      </c>
      <c r="H49" t="str">
        <v>Fri Mar 06 2026</v>
      </c>
      <c r="I49" t="str">
        <v>Wed Mar 18 2026</v>
      </c>
    </row>
    <row r="50">
      <c r="A50">
        <v>2742</v>
      </c>
      <c r="B50" t="str">
        <v xml:space="preserve">Pinky goswami </v>
      </c>
      <c r="C50" t="str">
        <v>Female</v>
      </c>
      <c r="D50">
        <v>130</v>
      </c>
      <c r="E50">
        <v>130</v>
      </c>
      <c r="F50">
        <v>0</v>
      </c>
      <c r="G50" t="str">
        <v>UPI</v>
      </c>
      <c r="H50" t="str">
        <v>Wed Mar 18 2026</v>
      </c>
      <c r="I50" t="str">
        <v>Wed Mar 18 2026</v>
      </c>
    </row>
    <row r="51">
      <c r="A51">
        <v>2731</v>
      </c>
      <c r="B51" t="str">
        <v xml:space="preserve">Shobha Gupta </v>
      </c>
      <c r="C51" t="str">
        <v>Female</v>
      </c>
      <c r="D51">
        <v>50</v>
      </c>
      <c r="E51">
        <v>50</v>
      </c>
      <c r="F51">
        <v>0</v>
      </c>
      <c r="G51" t="str">
        <v>UPI</v>
      </c>
      <c r="H51" t="str">
        <v>Tue Mar 17 2026</v>
      </c>
      <c r="I51" t="str">
        <v>Wed Mar 18 2026</v>
      </c>
    </row>
    <row r="52">
      <c r="A52">
        <v>2743</v>
      </c>
      <c r="B52" t="str">
        <v>Aasha yadav</v>
      </c>
      <c r="C52" t="str">
        <v>Female</v>
      </c>
      <c r="D52">
        <v>50</v>
      </c>
      <c r="E52">
        <v>50</v>
      </c>
      <c r="F52">
        <v>0</v>
      </c>
      <c r="G52" t="str">
        <v>Cash</v>
      </c>
      <c r="H52" t="str">
        <v>Wed Mar 18 2026</v>
      </c>
      <c r="I52" t="str">
        <v>Wed Mar 18 2026</v>
      </c>
    </row>
    <row r="53">
      <c r="A53">
        <v>2711</v>
      </c>
      <c r="B53" t="str">
        <v xml:space="preserve">Krishnakant Sharma </v>
      </c>
      <c r="C53" t="str">
        <v>Male</v>
      </c>
      <c r="D53">
        <v>50</v>
      </c>
      <c r="E53">
        <v>50</v>
      </c>
      <c r="F53">
        <v>0</v>
      </c>
      <c r="G53" t="str">
        <v>UPI</v>
      </c>
      <c r="H53" t="str">
        <v>Sat Mar 14 2026</v>
      </c>
      <c r="I53" t="str">
        <v>Wed Mar 18 2026</v>
      </c>
    </row>
    <row r="54">
      <c r="A54">
        <v>2382</v>
      </c>
      <c r="B54" t="str">
        <v xml:space="preserve">Vijay Rathore </v>
      </c>
      <c r="C54" t="str">
        <v>Male</v>
      </c>
      <c r="D54">
        <v>50</v>
      </c>
      <c r="E54">
        <v>50</v>
      </c>
      <c r="F54">
        <v>0</v>
      </c>
      <c r="G54" t="str">
        <v>Cash</v>
      </c>
      <c r="H54" t="str">
        <v>Mon Feb 02 2026</v>
      </c>
      <c r="I54" t="str">
        <v>Wed Mar 18 2026</v>
      </c>
    </row>
    <row r="55">
      <c r="A55">
        <v>2569</v>
      </c>
      <c r="B55" t="str">
        <v>Suresh Malvi</v>
      </c>
      <c r="C55" t="str">
        <v>Male</v>
      </c>
      <c r="D55">
        <v>50</v>
      </c>
      <c r="E55">
        <v>50</v>
      </c>
      <c r="F55">
        <v>0</v>
      </c>
      <c r="G55" t="str">
        <v>Cash</v>
      </c>
      <c r="H55" t="str">
        <v>Tue Feb 24 2026</v>
      </c>
      <c r="I55" t="str">
        <v>Wed Mar 18 2026</v>
      </c>
    </row>
    <row r="56">
      <c r="A56">
        <v>2683</v>
      </c>
      <c r="B56" t="str">
        <v>Bindu Ojha</v>
      </c>
      <c r="C56" t="str">
        <v>Female</v>
      </c>
      <c r="D56">
        <v>50</v>
      </c>
      <c r="E56">
        <v>50</v>
      </c>
      <c r="F56">
        <v>0</v>
      </c>
      <c r="G56" t="str">
        <v>Cash</v>
      </c>
      <c r="H56" t="str">
        <v>Wed Mar 11 2026</v>
      </c>
      <c r="I56" t="str">
        <v>Wed Mar 18 2026</v>
      </c>
    </row>
    <row r="57">
      <c r="A57">
        <v>2693</v>
      </c>
      <c r="B57" t="str">
        <v xml:space="preserve">Sangita Goyal </v>
      </c>
      <c r="C57" t="str">
        <v>Female</v>
      </c>
      <c r="D57">
        <v>50</v>
      </c>
      <c r="E57">
        <v>50</v>
      </c>
      <c r="F57">
        <v>0</v>
      </c>
      <c r="G57" t="str">
        <v>Cash</v>
      </c>
      <c r="H57" t="str">
        <v>Thu Mar 12 2026</v>
      </c>
      <c r="I57" t="str">
        <v>Wed Mar 18 2026</v>
      </c>
    </row>
    <row r="58">
      <c r="A58">
        <v>2719</v>
      </c>
      <c r="B58" t="str">
        <v xml:space="preserve">Prabha </v>
      </c>
      <c r="C58" t="str">
        <v>Female</v>
      </c>
      <c r="D58">
        <v>50</v>
      </c>
      <c r="E58">
        <v>50</v>
      </c>
      <c r="F58">
        <v>0</v>
      </c>
      <c r="G58" t="str">
        <v>Cash</v>
      </c>
      <c r="H58" t="str">
        <v>Mon Mar 16 2026</v>
      </c>
      <c r="I58" t="str">
        <v>Wed Mar 18 2026</v>
      </c>
    </row>
    <row r="59">
      <c r="A59">
        <v>2733</v>
      </c>
      <c r="B59" t="str">
        <v xml:space="preserve">Billo Kaushal </v>
      </c>
      <c r="C59" t="str">
        <v>Female</v>
      </c>
      <c r="D59">
        <v>50</v>
      </c>
      <c r="E59">
        <v>50</v>
      </c>
      <c r="F59">
        <v>0</v>
      </c>
      <c r="G59" t="str">
        <v>Cash</v>
      </c>
      <c r="H59" t="str">
        <v>Tue Mar 17 2026</v>
      </c>
      <c r="I59" t="str">
        <v>Wed Mar 18 2026</v>
      </c>
    </row>
    <row r="60">
      <c r="A60">
        <v>2648</v>
      </c>
      <c r="B60" t="str">
        <v xml:space="preserve">Paramvir Singh </v>
      </c>
      <c r="C60" t="str">
        <v>Male</v>
      </c>
      <c r="D60">
        <v>50</v>
      </c>
      <c r="E60">
        <v>50</v>
      </c>
      <c r="F60">
        <v>0</v>
      </c>
      <c r="G60" t="str">
        <v>UPI</v>
      </c>
      <c r="H60" t="str">
        <v>Fri Mar 06 2026</v>
      </c>
      <c r="I60" t="str">
        <v>Wed Mar 18 2026</v>
      </c>
    </row>
    <row r="61">
      <c r="A61">
        <v>2718</v>
      </c>
      <c r="B61" t="str">
        <v>Rajesh Jain</v>
      </c>
      <c r="C61" t="str">
        <v>Male</v>
      </c>
      <c r="D61">
        <v>50</v>
      </c>
      <c r="E61">
        <v>50</v>
      </c>
      <c r="F61">
        <v>0</v>
      </c>
      <c r="G61" t="str">
        <v>Cash</v>
      </c>
      <c r="H61" t="str">
        <v>Mon Mar 16 2026</v>
      </c>
      <c r="I61" t="str">
        <v>Wed Mar 18 2026</v>
      </c>
    </row>
    <row r="62">
      <c r="A62">
        <v>2723</v>
      </c>
      <c r="B62" t="str">
        <v>Sangeeta Negi</v>
      </c>
      <c r="C62" t="str">
        <v>Female</v>
      </c>
      <c r="D62">
        <v>50</v>
      </c>
      <c r="E62">
        <v>50</v>
      </c>
      <c r="F62">
        <v>0</v>
      </c>
      <c r="G62" t="str">
        <v>Cash</v>
      </c>
      <c r="H62" t="str">
        <v>Mon Mar 16 2026</v>
      </c>
      <c r="I62" t="str">
        <v>Wed Mar 18 2026</v>
      </c>
    </row>
    <row r="63">
      <c r="A63">
        <v>1928</v>
      </c>
      <c r="B63" t="str">
        <v xml:space="preserve">Sushma Kapoor </v>
      </c>
      <c r="C63" t="str">
        <v>Female</v>
      </c>
      <c r="D63">
        <v>50</v>
      </c>
      <c r="E63">
        <v>0</v>
      </c>
      <c r="F63">
        <v>50</v>
      </c>
      <c r="G63" t="str">
        <v>Cash</v>
      </c>
      <c r="H63" t="str">
        <v>Tue Dec 02 2025</v>
      </c>
      <c r="I63" t="str">
        <v>Wed Mar 18 2026</v>
      </c>
    </row>
    <row r="64">
      <c r="A64">
        <v>2666</v>
      </c>
      <c r="B64" t="str">
        <v>Bharti Bhomik</v>
      </c>
      <c r="C64" t="str">
        <v>Female</v>
      </c>
      <c r="D64">
        <v>70</v>
      </c>
      <c r="E64">
        <v>70</v>
      </c>
      <c r="F64">
        <v>0</v>
      </c>
      <c r="G64" t="str">
        <v>Cash</v>
      </c>
      <c r="H64" t="str">
        <v>Mon Mar 09 2026</v>
      </c>
      <c r="I64" t="str">
        <v>Wed Mar 18 2026</v>
      </c>
    </row>
    <row r="65">
      <c r="A65">
        <v>2318</v>
      </c>
      <c r="B65" t="str">
        <v xml:space="preserve">Lokesh Rathor </v>
      </c>
      <c r="C65" t="str">
        <v>Male</v>
      </c>
      <c r="D65">
        <v>50</v>
      </c>
      <c r="E65">
        <v>50</v>
      </c>
      <c r="F65">
        <v>0</v>
      </c>
      <c r="G65" t="str">
        <v>UPI</v>
      </c>
      <c r="H65" t="str">
        <v>Fri Jan 23 2026</v>
      </c>
      <c r="I65" t="str">
        <v>Wed Mar 18 2026</v>
      </c>
    </row>
    <row r="66">
      <c r="A66">
        <v>2658</v>
      </c>
      <c r="B66" t="str">
        <v xml:space="preserve">Nanuram Prajapat </v>
      </c>
      <c r="C66" t="str">
        <v>Male</v>
      </c>
      <c r="D66">
        <v>50</v>
      </c>
      <c r="E66">
        <v>30</v>
      </c>
      <c r="F66">
        <v>20</v>
      </c>
      <c r="G66" t="str">
        <v>Cash</v>
      </c>
      <c r="H66" t="str">
        <v>Sat Mar 07 2026</v>
      </c>
      <c r="I66" t="str">
        <v>Wed Mar 18 2026</v>
      </c>
    </row>
    <row r="67">
      <c r="A67">
        <v>2452</v>
      </c>
      <c r="B67" t="str">
        <v xml:space="preserve">B. S. Rajput </v>
      </c>
      <c r="C67" t="str">
        <v>Male</v>
      </c>
      <c r="D67">
        <v>50</v>
      </c>
      <c r="E67">
        <v>50</v>
      </c>
      <c r="F67">
        <v>0</v>
      </c>
      <c r="G67" t="str">
        <v>Cash</v>
      </c>
      <c r="H67" t="str">
        <v>Mon Feb 09 2026</v>
      </c>
      <c r="I67" t="str">
        <v>Wed Mar 18 2026</v>
      </c>
    </row>
    <row r="68">
      <c r="A68">
        <v>2736</v>
      </c>
      <c r="B68" t="str">
        <v xml:space="preserve">Jitendra Chauhan </v>
      </c>
      <c r="C68" t="str">
        <v>Male</v>
      </c>
      <c r="D68">
        <v>50</v>
      </c>
      <c r="E68">
        <v>50</v>
      </c>
      <c r="F68">
        <v>0</v>
      </c>
      <c r="G68" t="str">
        <v>UPI</v>
      </c>
      <c r="H68" t="str">
        <v>Tue Mar 17 2026</v>
      </c>
      <c r="I68" t="str">
        <v>Wed Mar 18 2026</v>
      </c>
    </row>
    <row r="69">
      <c r="A69">
        <v>2685</v>
      </c>
      <c r="B69" t="str">
        <v xml:space="preserve">Anjali Pawar </v>
      </c>
      <c r="C69" t="str">
        <v>Female</v>
      </c>
      <c r="D69">
        <v>50</v>
      </c>
      <c r="E69">
        <v>50</v>
      </c>
      <c r="F69">
        <v>0</v>
      </c>
      <c r="G69" t="str">
        <v>UPI</v>
      </c>
      <c r="H69" t="str">
        <v>Wed Mar 11 2026</v>
      </c>
      <c r="I69" t="str">
        <v>Wed Mar 18 2026</v>
      </c>
    </row>
    <row r="70">
      <c r="A70">
        <v>2744</v>
      </c>
      <c r="B70" t="str">
        <v xml:space="preserve">Jagdish Kumawat </v>
      </c>
      <c r="C70" t="str">
        <v>Male</v>
      </c>
      <c r="D70">
        <v>110</v>
      </c>
      <c r="E70">
        <v>110</v>
      </c>
      <c r="F70">
        <v>0</v>
      </c>
      <c r="G70" t="str">
        <v>Cash</v>
      </c>
      <c r="H70" t="str">
        <v>Wed Mar 18 2026</v>
      </c>
      <c r="I70" t="str">
        <v>Wed Mar 18 2026</v>
      </c>
    </row>
    <row r="71">
      <c r="A71">
        <v>2745</v>
      </c>
      <c r="B71" t="str">
        <v xml:space="preserve">Saroj Thakur </v>
      </c>
      <c r="C71" t="str">
        <v>Female</v>
      </c>
      <c r="D71">
        <v>110</v>
      </c>
      <c r="E71">
        <v>110</v>
      </c>
      <c r="F71">
        <v>0</v>
      </c>
      <c r="G71" t="str">
        <v>Cash</v>
      </c>
      <c r="H71" t="str">
        <v>Wed Mar 18 2026</v>
      </c>
      <c r="I71" t="str">
        <v>Wed Mar 18 2026</v>
      </c>
    </row>
    <row r="72">
      <c r="A72">
        <v>2660</v>
      </c>
      <c r="B72" t="str">
        <v xml:space="preserve">Ajay Chauhan </v>
      </c>
      <c r="C72" t="str">
        <v>Male</v>
      </c>
      <c r="D72">
        <v>50</v>
      </c>
      <c r="E72">
        <v>50</v>
      </c>
      <c r="F72">
        <v>0</v>
      </c>
      <c r="G72" t="str">
        <v>Cash</v>
      </c>
      <c r="H72" t="str">
        <v>Sat Mar 07 2026</v>
      </c>
      <c r="I72" t="str">
        <v>Wed Mar 18 2026</v>
      </c>
    </row>
    <row r="73">
      <c r="A73">
        <v>2746</v>
      </c>
      <c r="B73" t="str">
        <v>Fatelal Gurjar</v>
      </c>
      <c r="C73" t="str">
        <v>Male</v>
      </c>
      <c r="D73">
        <v>110</v>
      </c>
      <c r="E73">
        <v>110</v>
      </c>
      <c r="F73">
        <v>0</v>
      </c>
      <c r="G73" t="str">
        <v>UPI</v>
      </c>
      <c r="H73" t="str">
        <v>Wed Mar 18 2026</v>
      </c>
      <c r="I73" t="str">
        <v>Wed Mar 18 2026</v>
      </c>
    </row>
    <row r="74">
      <c r="A74">
        <v>2747</v>
      </c>
      <c r="B74" t="str">
        <v>Subhash Patra</v>
      </c>
      <c r="C74" t="str">
        <v>Male</v>
      </c>
      <c r="D74">
        <v>110</v>
      </c>
      <c r="E74">
        <v>110</v>
      </c>
      <c r="F74">
        <v>0</v>
      </c>
      <c r="G74" t="str">
        <v>Cash</v>
      </c>
      <c r="H74" t="str">
        <v>Wed Mar 18 2026</v>
      </c>
      <c r="I74" t="str">
        <v>Wed Mar 18 2026</v>
      </c>
    </row>
  </sheetData>
  <ignoredErrors>
    <ignoredError numberStoredAsText="1" sqref="A1:N7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75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Tue Mar 17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SUM(D10:D75)</f>
      </c>
      <c r="B7" t="e">
        <f t="array" ref="B7">SUM(E10:E75)</f>
      </c>
      <c r="C7" t="e">
        <f t="array" ref="C7">SUMIF(G10:G75, "Cash", E10:E75)</f>
      </c>
      <c r="D7" t="e">
        <f t="array" ref="D7">SUMIF(G10:G75, "UPI", E10:E75)</f>
      </c>
      <c r="E7" t="e">
        <f t="array" ref="E7">COUNTA(G10:G75)</f>
      </c>
      <c r="F7" t="e">
        <f t="array" ref="F7">COUNTIF(G10:G75, "Cash")</f>
      </c>
      <c r="G7" t="e">
        <f t="array" ref="G7">COUNTIF(G10:G75, "UPI")</f>
      </c>
      <c r="H7" t="e">
        <f t="array" ref="H7">SUM(F10:F75)</f>
      </c>
      <c r="I7" t="e">
        <f t="array" ref="I7">COUNT(FILTER(F10:F75, F10:F75=D10:D75))</f>
      </c>
      <c r="J7" t="e">
        <f t="array" ref="J7">IFERROR(ROWS(UNIQUE(FILTER(A10:A75,C10:C75="Male"))),0)</f>
      </c>
      <c r="K7" t="e">
        <f t="array" ref="K7">IFERROR(ROWS(UNIQUE(FILTER(A10:A75,C10:C75="Female"))),0)</f>
      </c>
      <c r="L7" t="e">
        <f t="array" ref="L7">IFERROR(ROWS(UNIQUE(FILTER(A10:A75,H10:H75=I10))),0)</f>
      </c>
      <c r="M7" t="e">
        <f t="array" ref="M7">IFERROR(ROWS(UNIQUE(FILTER(A10:A75,H10:H75&lt;&gt;I10))),0)</f>
      </c>
      <c r="N7" t="e">
        <f t="array" ref="N7">IFERROR(ROWS(UNIQUE(A10:A75)),0)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2142</v>
      </c>
      <c r="B10" t="str">
        <v xml:space="preserve">Santosh Kapurpura </v>
      </c>
      <c r="C10" t="str">
        <v>Female</v>
      </c>
      <c r="D10">
        <v>70</v>
      </c>
      <c r="E10">
        <v>60</v>
      </c>
      <c r="F10">
        <v>10</v>
      </c>
      <c r="G10" t="str">
        <v>Cash</v>
      </c>
      <c r="H10" t="str">
        <v>Tue Dec 30 2025</v>
      </c>
      <c r="I10" t="str">
        <v>Tue Mar 17 2026</v>
      </c>
    </row>
    <row r="11">
      <c r="A11">
        <v>2733</v>
      </c>
      <c r="B11" t="str">
        <v xml:space="preserve">Billo Kaushal </v>
      </c>
      <c r="C11" t="str">
        <v>Female</v>
      </c>
      <c r="D11">
        <v>110</v>
      </c>
      <c r="E11">
        <v>110</v>
      </c>
      <c r="F11">
        <v>0</v>
      </c>
      <c r="G11" t="str">
        <v>Cash</v>
      </c>
      <c r="H11" t="str">
        <v>Tue Mar 17 2026</v>
      </c>
      <c r="I11" t="str">
        <v>Tue Mar 17 2026</v>
      </c>
    </row>
    <row r="12">
      <c r="A12">
        <v>2704</v>
      </c>
      <c r="B12" t="str">
        <v>Ganesh neelkanth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Sat Mar 14 2026</v>
      </c>
      <c r="I12" t="str">
        <v>Tue Mar 17 2026</v>
      </c>
    </row>
    <row r="13">
      <c r="A13">
        <v>2726</v>
      </c>
      <c r="B13" t="str">
        <v>Gayan Singh pal</v>
      </c>
      <c r="C13" t="str">
        <v>Male</v>
      </c>
      <c r="D13">
        <v>110</v>
      </c>
      <c r="E13">
        <v>110</v>
      </c>
      <c r="F13">
        <v>0</v>
      </c>
      <c r="G13" t="str">
        <v>Cash</v>
      </c>
      <c r="H13" t="str">
        <v>Tue Mar 17 2026</v>
      </c>
      <c r="I13" t="str">
        <v>Tue Mar 17 2026</v>
      </c>
    </row>
    <row r="14">
      <c r="A14">
        <v>2718</v>
      </c>
      <c r="B14" t="str">
        <v>Rajesh Jain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Mar 16 2026</v>
      </c>
      <c r="I14" t="str">
        <v>Tue Mar 17 2026</v>
      </c>
    </row>
    <row r="15">
      <c r="A15">
        <v>2715</v>
      </c>
      <c r="B15" t="str">
        <v xml:space="preserve">Sangita Sharma </v>
      </c>
      <c r="C15" t="str">
        <v>Female</v>
      </c>
      <c r="D15">
        <v>50</v>
      </c>
      <c r="E15">
        <v>50</v>
      </c>
      <c r="F15">
        <v>0</v>
      </c>
      <c r="G15" t="str">
        <v>Cash</v>
      </c>
      <c r="H15" t="str">
        <v>Mon Mar 16 2026</v>
      </c>
      <c r="I15" t="str">
        <v>Tue Mar 17 2026</v>
      </c>
    </row>
    <row r="16">
      <c r="A16">
        <v>2695</v>
      </c>
      <c r="B16" t="str">
        <v xml:space="preserve">Kaladevi Sharma </v>
      </c>
      <c r="C16" t="str">
        <v>Female</v>
      </c>
      <c r="D16">
        <v>50</v>
      </c>
      <c r="E16">
        <v>50</v>
      </c>
      <c r="F16">
        <v>0</v>
      </c>
      <c r="G16" t="str">
        <v>Cash</v>
      </c>
      <c r="H16" t="str">
        <v>Fri Mar 13 2026</v>
      </c>
      <c r="I16" t="str">
        <v>Tue Mar 17 2026</v>
      </c>
    </row>
    <row r="17">
      <c r="A17">
        <v>2452</v>
      </c>
      <c r="B17" t="str">
        <v xml:space="preserve">B. S. Rajput 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Mon Feb 09 2026</v>
      </c>
      <c r="I17" t="str">
        <v>Tue Mar 17 2026</v>
      </c>
    </row>
    <row r="18">
      <c r="A18">
        <v>2727</v>
      </c>
      <c r="B18" t="str">
        <v xml:space="preserve">Umesh Tiwari </v>
      </c>
      <c r="C18" t="str">
        <v>Male</v>
      </c>
      <c r="D18">
        <v>110</v>
      </c>
      <c r="E18">
        <v>110</v>
      </c>
      <c r="F18">
        <v>0</v>
      </c>
      <c r="G18" t="str">
        <v>Cash</v>
      </c>
      <c r="H18" t="str">
        <v>Tue Mar 17 2026</v>
      </c>
      <c r="I18" t="str">
        <v>Tue Mar 17 2026</v>
      </c>
    </row>
    <row r="19">
      <c r="A19">
        <v>2728</v>
      </c>
      <c r="B19" t="str">
        <v>Jaswindar narang</v>
      </c>
      <c r="C19" t="str">
        <v>Male</v>
      </c>
      <c r="D19">
        <v>110</v>
      </c>
      <c r="E19">
        <v>110</v>
      </c>
      <c r="F19">
        <v>0</v>
      </c>
      <c r="G19" t="str">
        <v>UPI</v>
      </c>
      <c r="H19" t="str">
        <v>Tue Mar 17 2026</v>
      </c>
      <c r="I19" t="str">
        <v>Tue Mar 17 2026</v>
      </c>
    </row>
    <row r="20">
      <c r="A20">
        <v>2674</v>
      </c>
      <c r="B20" t="str">
        <v xml:space="preserve">Mira Sharma </v>
      </c>
      <c r="C20" t="str">
        <v>Female</v>
      </c>
      <c r="D20">
        <v>50</v>
      </c>
      <c r="E20">
        <v>50</v>
      </c>
      <c r="F20">
        <v>0</v>
      </c>
      <c r="G20" t="str">
        <v>Cash</v>
      </c>
      <c r="H20" t="str">
        <v>Tue Mar 10 2026</v>
      </c>
      <c r="I20" t="str">
        <v>Tue Mar 17 2026</v>
      </c>
    </row>
    <row r="21">
      <c r="A21">
        <v>2729</v>
      </c>
      <c r="B21" t="str">
        <v>Madanlal Aerwal</v>
      </c>
      <c r="C21" t="str">
        <v>Male</v>
      </c>
      <c r="D21">
        <v>110</v>
      </c>
      <c r="E21">
        <v>110</v>
      </c>
      <c r="F21">
        <v>0</v>
      </c>
      <c r="G21" t="str">
        <v>Cash</v>
      </c>
      <c r="H21" t="str">
        <v>Tue Mar 17 2026</v>
      </c>
      <c r="I21" t="str">
        <v>Tue Mar 17 2026</v>
      </c>
    </row>
    <row r="22">
      <c r="A22">
        <v>2730</v>
      </c>
      <c r="B22" t="str">
        <v xml:space="preserve">Anuj Chouhan </v>
      </c>
      <c r="C22" t="str">
        <v>Male</v>
      </c>
      <c r="D22">
        <v>110</v>
      </c>
      <c r="E22">
        <v>110</v>
      </c>
      <c r="F22">
        <v>0</v>
      </c>
      <c r="G22" t="str">
        <v>UPI</v>
      </c>
      <c r="H22" t="str">
        <v>Tue Mar 17 2026</v>
      </c>
      <c r="I22" t="str">
        <v>Tue Mar 17 2026</v>
      </c>
    </row>
    <row r="23">
      <c r="A23">
        <v>2584</v>
      </c>
      <c r="B23" t="str">
        <v xml:space="preserve">Lokesh Raghuvanshi </v>
      </c>
      <c r="C23" t="str">
        <v>Male</v>
      </c>
      <c r="D23">
        <v>70</v>
      </c>
      <c r="E23">
        <v>70</v>
      </c>
      <c r="F23">
        <v>0</v>
      </c>
      <c r="G23" t="str">
        <v>UPI</v>
      </c>
      <c r="H23" t="str">
        <v>Thu Feb 26 2026</v>
      </c>
      <c r="I23" t="str">
        <v>Tue Mar 17 2026</v>
      </c>
    </row>
    <row r="24">
      <c r="A24">
        <v>2305</v>
      </c>
      <c r="B24" t="str">
        <v xml:space="preserve">Mahendra Varma </v>
      </c>
      <c r="C24" t="str">
        <v>Male</v>
      </c>
      <c r="D24">
        <v>70</v>
      </c>
      <c r="E24">
        <v>70</v>
      </c>
      <c r="F24">
        <v>0</v>
      </c>
      <c r="G24" t="str">
        <v>Cash</v>
      </c>
      <c r="H24" t="str">
        <v>Thu Jan 22 2026</v>
      </c>
      <c r="I24" t="str">
        <v>Tue Mar 17 2026</v>
      </c>
    </row>
    <row r="25">
      <c r="A25">
        <v>2646</v>
      </c>
      <c r="B25" t="str">
        <v xml:space="preserve">Mira Varma </v>
      </c>
      <c r="C25" t="str">
        <v>Female</v>
      </c>
      <c r="D25">
        <v>50</v>
      </c>
      <c r="E25">
        <v>50</v>
      </c>
      <c r="F25">
        <v>0</v>
      </c>
      <c r="G25" t="str">
        <v>Cash</v>
      </c>
      <c r="H25" t="str">
        <v>Fri Mar 06 2026</v>
      </c>
      <c r="I25" t="str">
        <v>Tue Mar 17 2026</v>
      </c>
    </row>
    <row r="26">
      <c r="A26">
        <v>2566</v>
      </c>
      <c r="B26" t="str">
        <v xml:space="preserve">Deepak Patil </v>
      </c>
      <c r="C26" t="str">
        <v>Male</v>
      </c>
      <c r="D26">
        <v>50</v>
      </c>
      <c r="E26">
        <v>50</v>
      </c>
      <c r="F26">
        <v>0</v>
      </c>
      <c r="G26" t="str">
        <v>Cash</v>
      </c>
      <c r="H26" t="str">
        <v>Tue Feb 24 2026</v>
      </c>
      <c r="I26" t="str">
        <v>Tue Mar 17 2026</v>
      </c>
    </row>
    <row r="27">
      <c r="A27">
        <v>2731</v>
      </c>
      <c r="B27" t="str">
        <v xml:space="preserve">Shobha Gupta </v>
      </c>
      <c r="C27" t="str">
        <v>Female</v>
      </c>
      <c r="D27">
        <v>110</v>
      </c>
      <c r="E27">
        <v>110</v>
      </c>
      <c r="F27">
        <v>0</v>
      </c>
      <c r="G27" t="str">
        <v>UPI</v>
      </c>
      <c r="H27" t="str">
        <v>Tue Mar 17 2026</v>
      </c>
      <c r="I27" t="str">
        <v>Tue Mar 17 2026</v>
      </c>
    </row>
    <row r="28">
      <c r="A28">
        <v>2666</v>
      </c>
      <c r="B28" t="str">
        <v>Bharti Bhomik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Mon Mar 09 2026</v>
      </c>
      <c r="I28" t="str">
        <v>Tue Mar 17 2026</v>
      </c>
    </row>
    <row r="29">
      <c r="A29">
        <v>2683</v>
      </c>
      <c r="B29" t="str">
        <v>Bindu Ojha</v>
      </c>
      <c r="C29" t="str">
        <v>Female</v>
      </c>
      <c r="D29">
        <v>50</v>
      </c>
      <c r="E29">
        <v>50</v>
      </c>
      <c r="F29">
        <v>0</v>
      </c>
      <c r="G29" t="str">
        <v>Cash</v>
      </c>
      <c r="H29" t="str">
        <v>Wed Mar 11 2026</v>
      </c>
      <c r="I29" t="str">
        <v>Tue Mar 17 2026</v>
      </c>
    </row>
    <row r="30">
      <c r="A30">
        <v>2719</v>
      </c>
      <c r="B30" t="str">
        <v xml:space="preserve">Prabha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Mon Mar 16 2026</v>
      </c>
      <c r="I30" t="str">
        <v>Tue Mar 17 2026</v>
      </c>
    </row>
    <row r="31">
      <c r="A31">
        <v>2732</v>
      </c>
      <c r="B31" t="str">
        <v xml:space="preserve">Chahat Garg </v>
      </c>
      <c r="C31" t="str">
        <v>Female</v>
      </c>
      <c r="D31">
        <v>110</v>
      </c>
      <c r="E31">
        <v>110</v>
      </c>
      <c r="F31">
        <v>0</v>
      </c>
      <c r="G31" t="str">
        <v>UPI</v>
      </c>
      <c r="H31" t="str">
        <v>Tue Mar 17 2026</v>
      </c>
      <c r="I31" t="str">
        <v>Tue Mar 17 2026</v>
      </c>
    </row>
    <row r="32">
      <c r="A32">
        <v>2722</v>
      </c>
      <c r="B32" t="str">
        <v xml:space="preserve">Manju Chodhary </v>
      </c>
      <c r="C32" t="str">
        <v>Female</v>
      </c>
      <c r="D32">
        <v>0</v>
      </c>
      <c r="E32">
        <v>0</v>
      </c>
      <c r="F32">
        <v>0</v>
      </c>
      <c r="G32" t="str">
        <v>Cash</v>
      </c>
      <c r="H32" t="str">
        <v>Mon Mar 16 2026</v>
      </c>
      <c r="I32" t="str">
        <v>Tue Mar 17 2026</v>
      </c>
    </row>
    <row r="33">
      <c r="A33">
        <v>2669</v>
      </c>
      <c r="B33" t="str">
        <v>Jay Prakash Diya</v>
      </c>
      <c r="C33" t="str">
        <v>Male</v>
      </c>
      <c r="D33">
        <v>50</v>
      </c>
      <c r="E33">
        <v>50</v>
      </c>
      <c r="F33">
        <v>0</v>
      </c>
      <c r="G33" t="str">
        <v>UPI</v>
      </c>
      <c r="H33" t="str">
        <v>Mon Mar 09 2026</v>
      </c>
      <c r="I33" t="str">
        <v>Tue Mar 17 2026</v>
      </c>
    </row>
    <row r="34">
      <c r="A34">
        <v>2224</v>
      </c>
      <c r="B34" t="str">
        <v xml:space="preserve">Vidhya Maheshwari </v>
      </c>
      <c r="C34" t="str">
        <v>Female</v>
      </c>
      <c r="D34">
        <v>50</v>
      </c>
      <c r="E34">
        <v>50</v>
      </c>
      <c r="F34">
        <v>0</v>
      </c>
      <c r="G34" t="str">
        <v>Cash</v>
      </c>
      <c r="H34" t="str">
        <v>Tue Jan 13 2026</v>
      </c>
      <c r="I34" t="str">
        <v>Tue Mar 17 2026</v>
      </c>
    </row>
    <row r="35">
      <c r="A35">
        <v>2667</v>
      </c>
      <c r="B35" t="str">
        <v xml:space="preserve">Abhishek Yadav </v>
      </c>
      <c r="C35" t="str">
        <v>Male</v>
      </c>
      <c r="D35">
        <v>50</v>
      </c>
      <c r="E35">
        <v>50</v>
      </c>
      <c r="F35">
        <v>0</v>
      </c>
      <c r="G35" t="str">
        <v>Cash</v>
      </c>
      <c r="H35" t="str">
        <v>Mon Mar 09 2026</v>
      </c>
      <c r="I35" t="str">
        <v>Tue Mar 17 2026</v>
      </c>
    </row>
    <row r="36">
      <c r="A36">
        <v>2493</v>
      </c>
      <c r="B36" t="str">
        <v xml:space="preserve">Shivkaran Singh </v>
      </c>
      <c r="C36" t="str">
        <v>Male</v>
      </c>
      <c r="D36">
        <v>50</v>
      </c>
      <c r="E36">
        <v>50</v>
      </c>
      <c r="F36">
        <v>0</v>
      </c>
      <c r="G36" t="str">
        <v>UPI</v>
      </c>
      <c r="H36" t="str">
        <v>Sat Feb 14 2026</v>
      </c>
      <c r="I36" t="str">
        <v>Tue Mar 17 2026</v>
      </c>
    </row>
    <row r="37">
      <c r="A37">
        <v>2703</v>
      </c>
      <c r="B37" t="str">
        <v xml:space="preserve">Dipika Shukla </v>
      </c>
      <c r="C37" t="str">
        <v>Female</v>
      </c>
      <c r="D37">
        <v>50</v>
      </c>
      <c r="E37">
        <v>50</v>
      </c>
      <c r="F37">
        <v>0</v>
      </c>
      <c r="G37" t="str">
        <v>UPI</v>
      </c>
      <c r="H37" t="str">
        <v>Fri Mar 13 2026</v>
      </c>
      <c r="I37" t="str">
        <v>Tue Mar 17 2026</v>
      </c>
    </row>
    <row r="38">
      <c r="A38">
        <v>2624</v>
      </c>
      <c r="B38" t="str">
        <v xml:space="preserve">Mukesh Chauhan </v>
      </c>
      <c r="C38" t="str">
        <v>Male</v>
      </c>
      <c r="D38">
        <v>50</v>
      </c>
      <c r="E38">
        <v>50</v>
      </c>
      <c r="F38">
        <v>0</v>
      </c>
      <c r="G38" t="str">
        <v>UPI</v>
      </c>
      <c r="H38" t="str">
        <v>Thu Mar 05 2026</v>
      </c>
      <c r="I38" t="str">
        <v>Tue Mar 17 2026</v>
      </c>
    </row>
    <row r="39">
      <c r="A39">
        <v>2619</v>
      </c>
      <c r="B39" t="str">
        <v>Kailash Mathur</v>
      </c>
      <c r="C39" t="str">
        <v>Male</v>
      </c>
      <c r="D39">
        <v>50</v>
      </c>
      <c r="E39">
        <v>50</v>
      </c>
      <c r="F39">
        <v>0</v>
      </c>
      <c r="G39" t="str">
        <v>Cash</v>
      </c>
      <c r="H39" t="str">
        <v>Tue Mar 03 2026</v>
      </c>
      <c r="I39" t="str">
        <v>Tue Mar 17 2026</v>
      </c>
    </row>
    <row r="40">
      <c r="A40">
        <v>2115</v>
      </c>
      <c r="B40" t="str">
        <v>Harish Halabe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Thu Dec 25 2025</v>
      </c>
      <c r="I40" t="str">
        <v>Tue Mar 17 2026</v>
      </c>
    </row>
    <row r="41">
      <c r="A41">
        <v>2471</v>
      </c>
      <c r="B41" t="str">
        <v>Ashwini Gundigawkar</v>
      </c>
      <c r="C41" t="str">
        <v>Female</v>
      </c>
      <c r="D41">
        <v>50</v>
      </c>
      <c r="E41">
        <v>50</v>
      </c>
      <c r="F41">
        <v>0</v>
      </c>
      <c r="G41" t="str">
        <v>Cash</v>
      </c>
      <c r="H41" t="str">
        <v>Wed Feb 11 2026</v>
      </c>
      <c r="I41" t="str">
        <v>Tue Mar 17 2026</v>
      </c>
    </row>
    <row r="42">
      <c r="A42">
        <v>2678</v>
      </c>
      <c r="B42" t="str">
        <v>Mangesh Rai</v>
      </c>
      <c r="C42" t="str">
        <v>Male</v>
      </c>
      <c r="D42">
        <v>50</v>
      </c>
      <c r="E42">
        <v>50</v>
      </c>
      <c r="F42">
        <v>0</v>
      </c>
      <c r="G42" t="str">
        <v>Cash</v>
      </c>
      <c r="H42" t="str">
        <v>Tue Mar 10 2026</v>
      </c>
      <c r="I42" t="str">
        <v>Tue Mar 17 2026</v>
      </c>
    </row>
    <row r="43">
      <c r="A43">
        <v>2489</v>
      </c>
      <c r="B43" t="str">
        <v xml:space="preserve">Anjana Agrawal </v>
      </c>
      <c r="C43" t="str">
        <v>Female</v>
      </c>
      <c r="D43">
        <v>50</v>
      </c>
      <c r="E43">
        <v>50</v>
      </c>
      <c r="F43">
        <v>0</v>
      </c>
      <c r="G43" t="str">
        <v>Cash</v>
      </c>
      <c r="H43" t="str">
        <v>Fri Feb 13 2026</v>
      </c>
      <c r="I43" t="str">
        <v>Tue Mar 17 2026</v>
      </c>
    </row>
    <row r="44">
      <c r="A44">
        <v>1600</v>
      </c>
      <c r="B44" t="str">
        <v>Gopal Tayal</v>
      </c>
      <c r="C44" t="str">
        <v>Male</v>
      </c>
      <c r="D44">
        <v>70</v>
      </c>
      <c r="E44">
        <v>70</v>
      </c>
      <c r="F44">
        <v>0</v>
      </c>
      <c r="G44" t="str">
        <v>Cash</v>
      </c>
      <c r="H44" t="str">
        <v>Fri Oct 17 2025</v>
      </c>
      <c r="I44" t="str">
        <v>Tue Mar 17 2026</v>
      </c>
    </row>
    <row r="45">
      <c r="A45">
        <v>2707</v>
      </c>
      <c r="B45" t="str">
        <v xml:space="preserve">Vidhyawati Upadhyay </v>
      </c>
      <c r="C45" t="str">
        <v>Female</v>
      </c>
      <c r="D45">
        <v>50</v>
      </c>
      <c r="E45">
        <v>60</v>
      </c>
      <c r="F45">
        <v>0</v>
      </c>
      <c r="G45" t="str">
        <v>Cash</v>
      </c>
      <c r="H45" t="str">
        <v>Sat Mar 14 2026</v>
      </c>
      <c r="I45" t="str">
        <v>Tue Mar 17 2026</v>
      </c>
    </row>
    <row r="46">
      <c r="A46">
        <v>2684</v>
      </c>
      <c r="B46" t="str">
        <v xml:space="preserve">Pooja nariya 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Wed Mar 11 2026</v>
      </c>
      <c r="I46" t="str">
        <v>Tue Mar 17 2026</v>
      </c>
    </row>
    <row r="47">
      <c r="A47">
        <v>2587</v>
      </c>
      <c r="B47" t="str">
        <v xml:space="preserve">Kamla Prajapat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Thu Feb 26 2026</v>
      </c>
      <c r="I47" t="str">
        <v>Tue Mar 17 2026</v>
      </c>
    </row>
    <row r="48">
      <c r="A48">
        <v>2676</v>
      </c>
      <c r="B48" t="str">
        <v xml:space="preserve">Savita Soni 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Tue Mar 10 2026</v>
      </c>
      <c r="I48" t="str">
        <v>Tue Mar 17 2026</v>
      </c>
    </row>
    <row r="49">
      <c r="A49">
        <v>2687</v>
      </c>
      <c r="B49" t="str">
        <v xml:space="preserve">Hempushpa Chouhan </v>
      </c>
      <c r="C49" t="str">
        <v>Female</v>
      </c>
      <c r="D49">
        <v>50</v>
      </c>
      <c r="E49">
        <v>50</v>
      </c>
      <c r="F49">
        <v>0</v>
      </c>
      <c r="G49" t="str">
        <v>Cash</v>
      </c>
      <c r="H49" t="str">
        <v>Thu Mar 12 2026</v>
      </c>
      <c r="I49" t="str">
        <v>Tue Mar 17 2026</v>
      </c>
    </row>
    <row r="50">
      <c r="A50">
        <v>2723</v>
      </c>
      <c r="B50" t="str">
        <v>Sangeeta Negi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Mon Mar 16 2026</v>
      </c>
      <c r="I50" t="str">
        <v>Tue Mar 17 2026</v>
      </c>
    </row>
    <row r="51">
      <c r="A51">
        <v>2711</v>
      </c>
      <c r="B51" t="str">
        <v xml:space="preserve">Krishnakant Sharma </v>
      </c>
      <c r="C51" t="str">
        <v>Male</v>
      </c>
      <c r="D51">
        <v>50</v>
      </c>
      <c r="E51">
        <v>50</v>
      </c>
      <c r="F51">
        <v>0</v>
      </c>
      <c r="G51" t="str">
        <v>UPI</v>
      </c>
      <c r="H51" t="str">
        <v>Sat Mar 14 2026</v>
      </c>
      <c r="I51" t="str">
        <v>Tue Mar 17 2026</v>
      </c>
    </row>
    <row r="52">
      <c r="A52">
        <v>2652</v>
      </c>
      <c r="B52" t="str">
        <v xml:space="preserve">Ganesh Patel </v>
      </c>
      <c r="C52" t="str">
        <v>Male</v>
      </c>
      <c r="D52">
        <v>50</v>
      </c>
      <c r="E52">
        <v>50</v>
      </c>
      <c r="F52">
        <v>0</v>
      </c>
      <c r="G52" t="str">
        <v>Cash</v>
      </c>
      <c r="H52" t="str">
        <v>Sat Mar 07 2026</v>
      </c>
      <c r="I52" t="str">
        <v>Tue Mar 17 2026</v>
      </c>
    </row>
    <row r="53">
      <c r="A53">
        <v>2705</v>
      </c>
      <c r="B53" t="str">
        <v>Phoolbai thariya</v>
      </c>
      <c r="C53" t="str">
        <v>Female</v>
      </c>
      <c r="D53">
        <v>50</v>
      </c>
      <c r="E53">
        <v>50</v>
      </c>
      <c r="F53">
        <v>0</v>
      </c>
      <c r="G53" t="str">
        <v>Cash</v>
      </c>
      <c r="H53" t="str">
        <v>Sat Mar 14 2026</v>
      </c>
      <c r="I53" t="str">
        <v>Tue Mar 17 2026</v>
      </c>
    </row>
    <row r="54">
      <c r="A54">
        <v>2713</v>
      </c>
      <c r="B54" t="str">
        <v xml:space="preserve">Ketan kshirsagar </v>
      </c>
      <c r="C54" t="str">
        <v>Male</v>
      </c>
      <c r="D54">
        <v>50</v>
      </c>
      <c r="E54">
        <v>50</v>
      </c>
      <c r="F54">
        <v>0</v>
      </c>
      <c r="G54" t="str">
        <v>Cash</v>
      </c>
      <c r="H54" t="str">
        <v>Mon Mar 16 2026</v>
      </c>
      <c r="I54" t="str">
        <v>Tue Mar 17 2026</v>
      </c>
    </row>
    <row r="55">
      <c r="A55">
        <v>2451</v>
      </c>
      <c r="B55" t="str">
        <v xml:space="preserve">Prakash Joshi </v>
      </c>
      <c r="C55" t="str">
        <v>Male</v>
      </c>
      <c r="D55">
        <v>70</v>
      </c>
      <c r="E55">
        <v>70</v>
      </c>
      <c r="F55">
        <v>0</v>
      </c>
      <c r="G55" t="str">
        <v>Cash</v>
      </c>
      <c r="H55" t="str">
        <v>Mon Feb 09 2026</v>
      </c>
      <c r="I55" t="str">
        <v>Tue Mar 17 2026</v>
      </c>
    </row>
    <row r="56">
      <c r="A56">
        <v>2685</v>
      </c>
      <c r="B56" t="str">
        <v xml:space="preserve">Anjali Pawar </v>
      </c>
      <c r="C56" t="str">
        <v>Female</v>
      </c>
      <c r="D56">
        <v>50</v>
      </c>
      <c r="E56">
        <v>50</v>
      </c>
      <c r="F56">
        <v>0</v>
      </c>
      <c r="G56" t="str">
        <v>UPI</v>
      </c>
      <c r="H56" t="str">
        <v>Wed Mar 11 2026</v>
      </c>
      <c r="I56" t="str">
        <v>Tue Mar 17 2026</v>
      </c>
    </row>
    <row r="57">
      <c r="A57">
        <v>2098</v>
      </c>
      <c r="B57" t="str">
        <v>Sudha Panday</v>
      </c>
      <c r="C57" t="str">
        <v>Female</v>
      </c>
      <c r="D57">
        <v>50</v>
      </c>
      <c r="E57">
        <v>50</v>
      </c>
      <c r="F57">
        <v>0</v>
      </c>
      <c r="G57" t="str">
        <v>Cash</v>
      </c>
      <c r="H57" t="str">
        <v>Tue Dec 23 2025</v>
      </c>
      <c r="I57" t="str">
        <v>Tue Mar 17 2026</v>
      </c>
    </row>
    <row r="58">
      <c r="A58">
        <v>2697</v>
      </c>
      <c r="B58" t="str">
        <v xml:space="preserve">Sheetal Kushwaha </v>
      </c>
      <c r="C58" t="str">
        <v>Female</v>
      </c>
      <c r="D58">
        <v>50</v>
      </c>
      <c r="E58">
        <v>50</v>
      </c>
      <c r="F58">
        <v>0</v>
      </c>
      <c r="G58" t="str">
        <v>Cash</v>
      </c>
      <c r="H58" t="str">
        <v>Fri Mar 13 2026</v>
      </c>
      <c r="I58" t="str">
        <v>Tue Mar 17 2026</v>
      </c>
    </row>
    <row r="59">
      <c r="A59">
        <v>2717</v>
      </c>
      <c r="B59" t="str">
        <v xml:space="preserve">Ashish Sharma </v>
      </c>
      <c r="C59" t="str">
        <v>Male</v>
      </c>
      <c r="D59">
        <v>50</v>
      </c>
      <c r="E59">
        <v>50</v>
      </c>
      <c r="F59">
        <v>0</v>
      </c>
      <c r="G59" t="str">
        <v>UPI</v>
      </c>
      <c r="H59" t="str">
        <v>Mon Mar 16 2026</v>
      </c>
      <c r="I59" t="str">
        <v>Tue Mar 17 2026</v>
      </c>
    </row>
    <row r="60">
      <c r="A60">
        <v>2456</v>
      </c>
      <c r="B60" t="str">
        <v xml:space="preserve">D. P. Goyal </v>
      </c>
      <c r="C60" t="str">
        <v>Male</v>
      </c>
      <c r="D60">
        <v>50</v>
      </c>
      <c r="E60">
        <v>50</v>
      </c>
      <c r="F60">
        <v>0</v>
      </c>
      <c r="G60" t="str">
        <v>Cash</v>
      </c>
      <c r="H60" t="str">
        <v>Mon Feb 09 2026</v>
      </c>
      <c r="I60" t="str">
        <v>Tue Mar 17 2026</v>
      </c>
    </row>
    <row r="61">
      <c r="A61">
        <v>2658</v>
      </c>
      <c r="B61" t="str">
        <v xml:space="preserve">Nanuram Prajapat </v>
      </c>
      <c r="C61" t="str">
        <v>Male</v>
      </c>
      <c r="D61">
        <v>50</v>
      </c>
      <c r="E61">
        <v>30</v>
      </c>
      <c r="F61">
        <v>20</v>
      </c>
      <c r="G61" t="str">
        <v>Cash</v>
      </c>
      <c r="H61" t="str">
        <v>Sat Mar 07 2026</v>
      </c>
      <c r="I61" t="str">
        <v>Tue Mar 17 2026</v>
      </c>
    </row>
    <row r="62">
      <c r="A62">
        <v>2656</v>
      </c>
      <c r="B62" t="str">
        <v xml:space="preserve">Ashish Varma </v>
      </c>
      <c r="C62" t="str">
        <v>Male</v>
      </c>
      <c r="D62">
        <v>50</v>
      </c>
      <c r="E62">
        <v>50</v>
      </c>
      <c r="F62">
        <v>0</v>
      </c>
      <c r="G62" t="str">
        <v>Cash</v>
      </c>
      <c r="H62" t="str">
        <v>Sat Mar 07 2026</v>
      </c>
      <c r="I62" t="str">
        <v>Tue Mar 17 2026</v>
      </c>
    </row>
    <row r="63">
      <c r="A63">
        <v>2637</v>
      </c>
      <c r="B63" t="str">
        <v xml:space="preserve">Aakash Chourasia </v>
      </c>
      <c r="C63" t="str">
        <v>Male</v>
      </c>
      <c r="D63">
        <v>50</v>
      </c>
      <c r="E63">
        <v>50</v>
      </c>
      <c r="F63">
        <v>0</v>
      </c>
      <c r="G63" t="str">
        <v>Cash</v>
      </c>
      <c r="H63" t="str">
        <v>Thu Mar 05 2026</v>
      </c>
      <c r="I63" t="str">
        <v>Tue Mar 17 2026</v>
      </c>
    </row>
    <row r="64">
      <c r="A64">
        <v>2693</v>
      </c>
      <c r="B64" t="str">
        <v xml:space="preserve">Sangita Goyal </v>
      </c>
      <c r="C64" t="str">
        <v>Female</v>
      </c>
      <c r="D64">
        <v>50</v>
      </c>
      <c r="E64">
        <v>50</v>
      </c>
      <c r="F64">
        <v>0</v>
      </c>
      <c r="G64" t="str">
        <v>Cash</v>
      </c>
      <c r="H64" t="str">
        <v>Thu Mar 12 2026</v>
      </c>
      <c r="I64" t="str">
        <v>Tue Mar 17 2026</v>
      </c>
    </row>
    <row r="65">
      <c r="A65">
        <v>2648</v>
      </c>
      <c r="B65" t="str">
        <v xml:space="preserve">Paramvir Singh </v>
      </c>
      <c r="C65" t="str">
        <v>Male</v>
      </c>
      <c r="D65">
        <v>50</v>
      </c>
      <c r="E65">
        <v>50</v>
      </c>
      <c r="F65">
        <v>0</v>
      </c>
      <c r="G65" t="str">
        <v>UPI</v>
      </c>
      <c r="H65" t="str">
        <v>Fri Mar 06 2026</v>
      </c>
      <c r="I65" t="str">
        <v>Tue Mar 17 2026</v>
      </c>
    </row>
    <row r="66">
      <c r="A66">
        <v>2724</v>
      </c>
      <c r="B66" t="str">
        <v>Parth Billore</v>
      </c>
      <c r="C66" t="str">
        <v>Male</v>
      </c>
      <c r="D66">
        <v>50</v>
      </c>
      <c r="E66">
        <v>50</v>
      </c>
      <c r="F66">
        <v>0</v>
      </c>
      <c r="G66" t="str">
        <v>Cash</v>
      </c>
      <c r="H66" t="str">
        <v>Mon Mar 16 2026</v>
      </c>
      <c r="I66" t="str">
        <v>Tue Mar 17 2026</v>
      </c>
    </row>
    <row r="67">
      <c r="A67">
        <v>2644</v>
      </c>
      <c r="B67" t="str">
        <v>Laxmi Sambhariya</v>
      </c>
      <c r="C67" t="str">
        <v>Female</v>
      </c>
      <c r="D67">
        <v>50</v>
      </c>
      <c r="E67">
        <v>50</v>
      </c>
      <c r="F67">
        <v>0</v>
      </c>
      <c r="G67" t="str">
        <v>Cash</v>
      </c>
      <c r="H67" t="str">
        <v>Fri Mar 06 2026</v>
      </c>
      <c r="I67" t="str">
        <v>Tue Mar 17 2026</v>
      </c>
    </row>
    <row r="68">
      <c r="A68">
        <v>2734</v>
      </c>
      <c r="B68" t="str">
        <v>Kailash Kasera</v>
      </c>
      <c r="C68" t="str">
        <v>Male</v>
      </c>
      <c r="D68">
        <v>110</v>
      </c>
      <c r="E68">
        <v>110</v>
      </c>
      <c r="F68">
        <v>0</v>
      </c>
      <c r="G68" t="str">
        <v>Cash</v>
      </c>
      <c r="H68" t="str">
        <v>Tue Mar 17 2026</v>
      </c>
      <c r="I68" t="str">
        <v>Tue Mar 17 2026</v>
      </c>
    </row>
    <row r="69">
      <c r="A69">
        <v>2735</v>
      </c>
      <c r="B69" t="str">
        <v>Mahesh Bama</v>
      </c>
      <c r="C69" t="str">
        <v>Male</v>
      </c>
      <c r="D69">
        <v>110</v>
      </c>
      <c r="E69">
        <v>110</v>
      </c>
      <c r="F69">
        <v>0</v>
      </c>
      <c r="G69" t="str">
        <v>UPI</v>
      </c>
      <c r="H69" t="str">
        <v>Tue Mar 17 2026</v>
      </c>
      <c r="I69" t="str">
        <v>Tue Mar 17 2026</v>
      </c>
    </row>
    <row r="70">
      <c r="A70">
        <v>2736</v>
      </c>
      <c r="B70" t="str">
        <v xml:space="preserve">Jitendra Chauhan </v>
      </c>
      <c r="C70" t="str">
        <v>Male</v>
      </c>
      <c r="D70">
        <v>110</v>
      </c>
      <c r="E70">
        <v>110</v>
      </c>
      <c r="F70">
        <v>0</v>
      </c>
      <c r="G70" t="str">
        <v>UPI</v>
      </c>
      <c r="H70" t="str">
        <v>Tue Mar 17 2026</v>
      </c>
      <c r="I70" t="str">
        <v>Tue Mar 17 2026</v>
      </c>
    </row>
    <row r="71">
      <c r="A71">
        <v>1928</v>
      </c>
      <c r="B71" t="str">
        <v xml:space="preserve">Sushma Kapur </v>
      </c>
      <c r="C71" t="str">
        <v>Female</v>
      </c>
      <c r="D71">
        <v>50</v>
      </c>
      <c r="E71">
        <v>0</v>
      </c>
      <c r="F71">
        <v>50</v>
      </c>
      <c r="G71" t="str">
        <v>Cash</v>
      </c>
      <c r="H71" t="str">
        <v>Tue Dec 02 2025</v>
      </c>
      <c r="I71" t="str">
        <v>Tue Mar 17 2026</v>
      </c>
    </row>
    <row r="72">
      <c r="A72">
        <v>2660</v>
      </c>
      <c r="B72" t="str">
        <v xml:space="preserve">Ajay Chauhan </v>
      </c>
      <c r="C72" t="str">
        <v>Male</v>
      </c>
      <c r="D72">
        <v>50</v>
      </c>
      <c r="E72">
        <v>50</v>
      </c>
      <c r="F72">
        <v>0</v>
      </c>
      <c r="G72" t="str">
        <v>Cash</v>
      </c>
      <c r="H72" t="str">
        <v>Sat Mar 07 2026</v>
      </c>
      <c r="I72" t="str">
        <v>Tue Mar 17 2026</v>
      </c>
    </row>
    <row r="73">
      <c r="A73">
        <v>2635</v>
      </c>
      <c r="B73" t="str">
        <v xml:space="preserve">O. P. Joshi </v>
      </c>
      <c r="C73" t="str">
        <v>Male</v>
      </c>
      <c r="D73">
        <v>50</v>
      </c>
      <c r="E73">
        <v>50</v>
      </c>
      <c r="F73">
        <v>0</v>
      </c>
      <c r="G73" t="str">
        <v>Cash</v>
      </c>
      <c r="H73" t="str">
        <v>Thu Mar 05 2026</v>
      </c>
      <c r="I73" t="str">
        <v>Tue Mar 17 2026</v>
      </c>
    </row>
    <row r="74">
      <c r="A74">
        <v>2592</v>
      </c>
      <c r="B74" t="str">
        <v xml:space="preserve">Tripti Yadav </v>
      </c>
      <c r="C74" t="str">
        <v>Female</v>
      </c>
      <c r="D74">
        <v>50</v>
      </c>
      <c r="E74">
        <v>50</v>
      </c>
      <c r="F74">
        <v>0</v>
      </c>
      <c r="G74" t="str">
        <v>Cash</v>
      </c>
      <c r="H74" t="str">
        <v>Thu Feb 26 2026</v>
      </c>
      <c r="I74" t="str">
        <v>Tue Mar 17 2026</v>
      </c>
    </row>
    <row r="75">
      <c r="A75">
        <v>2679</v>
      </c>
      <c r="B75" t="str">
        <v xml:space="preserve">Sima Patel </v>
      </c>
      <c r="C75" t="str">
        <v>Female</v>
      </c>
      <c r="D75">
        <v>50</v>
      </c>
      <c r="E75">
        <v>50</v>
      </c>
      <c r="F75">
        <v>0</v>
      </c>
      <c r="G75" t="str">
        <v>Cash</v>
      </c>
      <c r="H75" t="str">
        <v>Tue Mar 10 2026</v>
      </c>
      <c r="I75" t="str">
        <v>Tue Mar 17 2026</v>
      </c>
    </row>
  </sheetData>
  <ignoredErrors>
    <ignoredError numberStoredAsText="1" sqref="A1:N7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90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Mon Mar 16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SUM(D10:D90)</f>
      </c>
      <c r="B7" t="e">
        <f t="array" ref="B7">SUM(E10:E90)</f>
      </c>
      <c r="C7" t="e">
        <f t="array" ref="C7">SUMIF(G10:G90, "Cash", E10:E90)</f>
      </c>
      <c r="D7" t="e">
        <f t="array" ref="D7">SUMIF(G10:G90, "UPI", E10:E90)</f>
      </c>
      <c r="E7" t="e">
        <f t="array" ref="E7">COUNTA(G10:G90)</f>
      </c>
      <c r="F7" t="e">
        <f t="array" ref="F7">COUNTIF(G10:G90, "Cash")</f>
      </c>
      <c r="G7" t="e">
        <f t="array" ref="G7">COUNTIF(G10:G90, "UPI")</f>
      </c>
      <c r="H7" t="e">
        <f t="array" ref="H7">SUM(F10:F90)</f>
      </c>
      <c r="I7" t="e">
        <f t="array" ref="I7">COUNT(FILTER(F10:F90, F10:F90=D10:D90))</f>
      </c>
      <c r="J7" t="e">
        <f t="array" ref="J7">IFERROR(ROWS(UNIQUE(FILTER(A10:A90,C10:C90="Male"))),0)</f>
      </c>
      <c r="K7" t="e">
        <f t="array" ref="K7">IFERROR(ROWS(UNIQUE(FILTER(A10:A90,C10:C90="Female"))),0)</f>
      </c>
      <c r="L7" t="e">
        <f t="array" ref="L7">IFERROR(ROWS(UNIQUE(FILTER(A10:A90,H10:H90=I10))),0)</f>
      </c>
      <c r="M7" t="e">
        <f t="array" ref="M7">IFERROR(ROWS(UNIQUE(FILTER(A10:A90,H10:H90&lt;&gt;I10))),0)</f>
      </c>
      <c r="N7" t="e">
        <f t="array" ref="N7">IFERROR(ROWS(UNIQUE(A10:A90)),0)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1645</v>
      </c>
      <c r="B10" t="str">
        <v>Jaiprakash Mishra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Mon Oct 27 2025</v>
      </c>
      <c r="I10" t="str">
        <v>Mon Mar 16 2026</v>
      </c>
    </row>
    <row r="11">
      <c r="A11">
        <v>2700</v>
      </c>
      <c r="B11" t="str">
        <v xml:space="preserve">Kaladevi Lodhi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Fri Mar 13 2026</v>
      </c>
      <c r="I11" t="str">
        <v>Mon Mar 16 2026</v>
      </c>
    </row>
    <row r="12">
      <c r="A12">
        <v>2224</v>
      </c>
      <c r="B12" t="str">
        <v xml:space="preserve">Vidhya Maheshwari </v>
      </c>
      <c r="C12" t="str">
        <v>Female</v>
      </c>
      <c r="D12">
        <v>50</v>
      </c>
      <c r="E12">
        <v>50</v>
      </c>
      <c r="F12">
        <v>0</v>
      </c>
      <c r="G12" t="str">
        <v>Cash</v>
      </c>
      <c r="H12" t="str">
        <v>Tue Jan 13 2026</v>
      </c>
      <c r="I12" t="str">
        <v>Mon Mar 16 2026</v>
      </c>
    </row>
    <row r="13">
      <c r="A13">
        <v>2678</v>
      </c>
      <c r="B13" t="str">
        <v>Mangesh Rai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Tue Mar 10 2026</v>
      </c>
      <c r="I13" t="str">
        <v>Mon Mar 16 2026</v>
      </c>
    </row>
    <row r="14">
      <c r="A14">
        <v>2667</v>
      </c>
      <c r="B14" t="str">
        <v xml:space="preserve">Abhishek Yadav 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Mar 09 2026</v>
      </c>
      <c r="I14" t="str">
        <v>Mon Mar 16 2026</v>
      </c>
    </row>
    <row r="15">
      <c r="A15">
        <v>2707</v>
      </c>
      <c r="B15" t="str">
        <v xml:space="preserve">Vidhyawati Upadhyay </v>
      </c>
      <c r="C15" t="str">
        <v>Female</v>
      </c>
      <c r="D15">
        <v>50</v>
      </c>
      <c r="E15">
        <v>60</v>
      </c>
      <c r="F15">
        <v>0</v>
      </c>
      <c r="G15" t="str">
        <v>Cash</v>
      </c>
      <c r="H15" t="str">
        <v>Sat Mar 14 2026</v>
      </c>
      <c r="I15" t="str">
        <v>Mon Mar 16 2026</v>
      </c>
    </row>
    <row r="16">
      <c r="A16">
        <v>2696</v>
      </c>
      <c r="B16" t="str">
        <v>Giriraj Shrimal</v>
      </c>
      <c r="C16" t="str">
        <v>Male</v>
      </c>
      <c r="D16">
        <v>50</v>
      </c>
      <c r="E16">
        <v>50</v>
      </c>
      <c r="F16">
        <v>0</v>
      </c>
      <c r="G16" t="str">
        <v>Cash</v>
      </c>
      <c r="H16" t="str">
        <v>Fri Mar 13 2026</v>
      </c>
      <c r="I16" t="str">
        <v>Mon Mar 16 2026</v>
      </c>
    </row>
    <row r="17">
      <c r="A17">
        <v>2698</v>
      </c>
      <c r="B17" t="str">
        <v xml:space="preserve">Aditya Rajput </v>
      </c>
      <c r="C17" t="str">
        <v>Male</v>
      </c>
      <c r="D17">
        <v>50</v>
      </c>
      <c r="E17">
        <v>50</v>
      </c>
      <c r="F17">
        <v>0</v>
      </c>
      <c r="G17" t="str">
        <v>UPI</v>
      </c>
      <c r="H17" t="str">
        <v>Fri Mar 13 2026</v>
      </c>
      <c r="I17" t="str">
        <v>Mon Mar 16 2026</v>
      </c>
    </row>
    <row r="18">
      <c r="A18">
        <v>1917</v>
      </c>
      <c r="B18" t="str">
        <v xml:space="preserve">Ramesh Sharma </v>
      </c>
      <c r="C18" t="str">
        <v>Male</v>
      </c>
      <c r="D18">
        <v>50</v>
      </c>
      <c r="E18">
        <v>50</v>
      </c>
      <c r="F18">
        <v>0</v>
      </c>
      <c r="G18" t="str">
        <v>UPI</v>
      </c>
      <c r="H18" t="str">
        <v>Mon Dec 01 2025</v>
      </c>
      <c r="I18" t="str">
        <v>Mon Mar 16 2026</v>
      </c>
    </row>
    <row r="19">
      <c r="A19">
        <v>2584</v>
      </c>
      <c r="B19" t="str">
        <v xml:space="preserve">Lokesh Raghuvanshi </v>
      </c>
      <c r="C19" t="str">
        <v>Male</v>
      </c>
      <c r="D19">
        <v>70</v>
      </c>
      <c r="E19">
        <v>70</v>
      </c>
      <c r="F19">
        <v>0</v>
      </c>
      <c r="G19" t="str">
        <v>UPI</v>
      </c>
      <c r="H19" t="str">
        <v>Thu Feb 26 2026</v>
      </c>
      <c r="I19" t="str">
        <v>Mon Mar 16 2026</v>
      </c>
    </row>
    <row r="20">
      <c r="A20">
        <v>2684</v>
      </c>
      <c r="B20" t="str">
        <v xml:space="preserve">Pooja nariya </v>
      </c>
      <c r="C20" t="str">
        <v>Female</v>
      </c>
      <c r="D20">
        <v>50</v>
      </c>
      <c r="E20">
        <v>50</v>
      </c>
      <c r="F20">
        <v>0</v>
      </c>
      <c r="G20" t="str">
        <v>UPI</v>
      </c>
      <c r="H20" t="str">
        <v>Wed Mar 11 2026</v>
      </c>
      <c r="I20" t="str">
        <v>Mon Mar 16 2026</v>
      </c>
    </row>
    <row r="21">
      <c r="A21">
        <v>2489</v>
      </c>
      <c r="B21" t="str">
        <v xml:space="preserve">Anjana Agrawal </v>
      </c>
      <c r="C21" t="str">
        <v>Female</v>
      </c>
      <c r="D21">
        <v>110</v>
      </c>
      <c r="E21">
        <v>110</v>
      </c>
      <c r="F21">
        <v>0</v>
      </c>
      <c r="G21" t="str">
        <v>UPI</v>
      </c>
      <c r="H21" t="str">
        <v>Fri Feb 13 2026</v>
      </c>
      <c r="I21" t="str">
        <v>Mon Mar 16 2026</v>
      </c>
    </row>
    <row r="22">
      <c r="A22">
        <v>2230</v>
      </c>
      <c r="B22" t="str">
        <v xml:space="preserve">Divy Sahu </v>
      </c>
      <c r="C22" t="str">
        <v>Male</v>
      </c>
      <c r="D22">
        <v>110</v>
      </c>
      <c r="E22">
        <v>110</v>
      </c>
      <c r="F22">
        <v>0</v>
      </c>
      <c r="G22" t="str">
        <v>Cash</v>
      </c>
      <c r="H22" t="str">
        <v>Tue Jan 13 2026</v>
      </c>
      <c r="I22" t="str">
        <v>Mon Mar 16 2026</v>
      </c>
    </row>
    <row r="23">
      <c r="A23">
        <v>2451</v>
      </c>
      <c r="B23" t="str">
        <v xml:space="preserve">Prakash Joshi </v>
      </c>
      <c r="C23" t="str">
        <v>Male</v>
      </c>
      <c r="D23">
        <v>70</v>
      </c>
      <c r="E23">
        <v>70</v>
      </c>
      <c r="F23">
        <v>0</v>
      </c>
      <c r="G23" t="str">
        <v>Cash</v>
      </c>
      <c r="H23" t="str">
        <v>Mon Feb 09 2026</v>
      </c>
      <c r="I23" t="str">
        <v>Mon Mar 16 2026</v>
      </c>
    </row>
    <row r="24">
      <c r="A24">
        <v>2225</v>
      </c>
      <c r="B24" t="str">
        <v>Shanti mundra</v>
      </c>
      <c r="C24" t="str">
        <v>Female</v>
      </c>
      <c r="D24">
        <v>50</v>
      </c>
      <c r="E24">
        <v>50</v>
      </c>
      <c r="F24">
        <v>0</v>
      </c>
      <c r="G24" t="str">
        <v>Cash</v>
      </c>
      <c r="H24" t="str">
        <v>Tue Jan 13 2026</v>
      </c>
      <c r="I24" t="str">
        <v>Mon Mar 16 2026</v>
      </c>
    </row>
    <row r="25">
      <c r="A25">
        <v>2471</v>
      </c>
      <c r="B25" t="str">
        <v>Ashwini Gundigawkar</v>
      </c>
      <c r="C25" t="str">
        <v>Female</v>
      </c>
      <c r="D25">
        <v>50</v>
      </c>
      <c r="E25">
        <v>50</v>
      </c>
      <c r="F25">
        <v>0</v>
      </c>
      <c r="G25" t="str">
        <v>Cash</v>
      </c>
      <c r="H25" t="str">
        <v>Wed Feb 11 2026</v>
      </c>
      <c r="I25" t="str">
        <v>Mon Mar 16 2026</v>
      </c>
    </row>
    <row r="26">
      <c r="A26">
        <v>2704</v>
      </c>
      <c r="B26" t="str">
        <v>Ganesh neelkanth</v>
      </c>
      <c r="C26" t="str">
        <v>Male</v>
      </c>
      <c r="D26">
        <v>50</v>
      </c>
      <c r="E26">
        <v>50</v>
      </c>
      <c r="F26">
        <v>0</v>
      </c>
      <c r="G26" t="str">
        <v>Cash</v>
      </c>
      <c r="H26" t="str">
        <v>Sat Mar 14 2026</v>
      </c>
      <c r="I26" t="str">
        <v>Mon Mar 16 2026</v>
      </c>
    </row>
    <row r="27">
      <c r="A27">
        <v>2289</v>
      </c>
      <c r="B27" t="str">
        <v xml:space="preserve">Jaibir Singh </v>
      </c>
      <c r="C27" t="str">
        <v>Male</v>
      </c>
      <c r="D27">
        <v>50</v>
      </c>
      <c r="E27">
        <v>50</v>
      </c>
      <c r="F27">
        <v>0</v>
      </c>
      <c r="G27" t="str">
        <v>Cash</v>
      </c>
      <c r="H27" t="str">
        <v>Tue Jan 20 2026</v>
      </c>
      <c r="I27" t="str">
        <v>Mon Mar 16 2026</v>
      </c>
    </row>
    <row r="28">
      <c r="A28">
        <v>2624</v>
      </c>
      <c r="B28" t="str">
        <v xml:space="preserve">Mukesh Chauhan </v>
      </c>
      <c r="C28" t="str">
        <v>Male</v>
      </c>
      <c r="D28">
        <v>50</v>
      </c>
      <c r="E28">
        <v>50</v>
      </c>
      <c r="F28">
        <v>0</v>
      </c>
      <c r="G28" t="str">
        <v>UPI</v>
      </c>
      <c r="H28" t="str">
        <v>Thu Mar 05 2026</v>
      </c>
      <c r="I28" t="str">
        <v>Mon Mar 16 2026</v>
      </c>
    </row>
    <row r="29">
      <c r="A29">
        <v>2652</v>
      </c>
      <c r="B29" t="str">
        <v xml:space="preserve">Ganesh Patel </v>
      </c>
      <c r="C29" t="str">
        <v>Male</v>
      </c>
      <c r="D29">
        <v>50</v>
      </c>
      <c r="E29">
        <v>50</v>
      </c>
      <c r="F29">
        <v>0</v>
      </c>
      <c r="G29" t="str">
        <v>Cash</v>
      </c>
      <c r="H29" t="str">
        <v>Sat Mar 07 2026</v>
      </c>
      <c r="I29" t="str">
        <v>Mon Mar 16 2026</v>
      </c>
    </row>
    <row r="30">
      <c r="A30">
        <v>2705</v>
      </c>
      <c r="B30" t="str">
        <v>Phoolbai thariya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Sat Mar 14 2026</v>
      </c>
      <c r="I30" t="str">
        <v>Mon Mar 16 2026</v>
      </c>
    </row>
    <row r="31">
      <c r="A31">
        <v>2683</v>
      </c>
      <c r="B31" t="str">
        <v>Bindu Ojha</v>
      </c>
      <c r="C31" t="str">
        <v>Female</v>
      </c>
      <c r="D31">
        <v>50</v>
      </c>
      <c r="E31">
        <v>50</v>
      </c>
      <c r="F31">
        <v>0</v>
      </c>
      <c r="G31" t="str">
        <v>Cash</v>
      </c>
      <c r="H31" t="str">
        <v>Wed Mar 11 2026</v>
      </c>
      <c r="I31" t="str">
        <v>Mon Mar 16 2026</v>
      </c>
    </row>
    <row r="32">
      <c r="A32">
        <v>2115</v>
      </c>
      <c r="B32" t="str">
        <v>Harish Halabe</v>
      </c>
      <c r="C32" t="str">
        <v>Male</v>
      </c>
      <c r="D32">
        <v>110</v>
      </c>
      <c r="E32">
        <v>110</v>
      </c>
      <c r="F32">
        <v>0</v>
      </c>
      <c r="G32" t="str">
        <v>Cash</v>
      </c>
      <c r="H32" t="str">
        <v>Thu Dec 25 2025</v>
      </c>
      <c r="I32" t="str">
        <v>Mon Mar 16 2026</v>
      </c>
    </row>
    <row r="33">
      <c r="A33">
        <v>2581</v>
      </c>
      <c r="B33" t="str">
        <v xml:space="preserve">Radheshyam Bhavsar </v>
      </c>
      <c r="C33" t="str">
        <v>Male</v>
      </c>
      <c r="D33">
        <v>50</v>
      </c>
      <c r="E33">
        <v>50</v>
      </c>
      <c r="F33">
        <v>0</v>
      </c>
      <c r="G33" t="str">
        <v>UPI</v>
      </c>
      <c r="H33" t="str">
        <v>Wed Feb 25 2026</v>
      </c>
      <c r="I33" t="str">
        <v>Mon Mar 16 2026</v>
      </c>
    </row>
    <row r="34">
      <c r="A34">
        <v>2619</v>
      </c>
      <c r="B34" t="str">
        <v>Kailash Mathur</v>
      </c>
      <c r="C34" t="str">
        <v>Male</v>
      </c>
      <c r="D34">
        <v>50</v>
      </c>
      <c r="E34">
        <v>50</v>
      </c>
      <c r="F34">
        <v>0</v>
      </c>
      <c r="G34" t="str">
        <v>Cash</v>
      </c>
      <c r="H34" t="str">
        <v>Tue Mar 03 2026</v>
      </c>
      <c r="I34" t="str">
        <v>Mon Mar 16 2026</v>
      </c>
    </row>
    <row r="35">
      <c r="A35">
        <v>2695</v>
      </c>
      <c r="B35" t="str">
        <v xml:space="preserve">Kaladevi Sharma </v>
      </c>
      <c r="C35" t="str">
        <v>Female</v>
      </c>
      <c r="D35">
        <v>50</v>
      </c>
      <c r="E35">
        <v>50</v>
      </c>
      <c r="F35">
        <v>0</v>
      </c>
      <c r="G35" t="str">
        <v>Cash</v>
      </c>
      <c r="H35" t="str">
        <v>Fri Mar 13 2026</v>
      </c>
      <c r="I35" t="str">
        <v>Mon Mar 16 2026</v>
      </c>
    </row>
    <row r="36">
      <c r="A36">
        <v>2569</v>
      </c>
      <c r="B36" t="str">
        <v>Suresh Malvi</v>
      </c>
      <c r="C36" t="str">
        <v>Male</v>
      </c>
      <c r="D36">
        <v>50</v>
      </c>
      <c r="E36">
        <v>50</v>
      </c>
      <c r="F36">
        <v>0</v>
      </c>
      <c r="G36" t="str">
        <v>Cash</v>
      </c>
      <c r="H36" t="str">
        <v>Tue Feb 24 2026</v>
      </c>
      <c r="I36" t="str">
        <v>Mon Mar 16 2026</v>
      </c>
    </row>
    <row r="37">
      <c r="A37">
        <v>2687</v>
      </c>
      <c r="B37" t="str">
        <v xml:space="preserve">Hempushpa Chouhan </v>
      </c>
      <c r="C37" t="str">
        <v>Female</v>
      </c>
      <c r="D37">
        <v>50</v>
      </c>
      <c r="E37">
        <v>50</v>
      </c>
      <c r="F37">
        <v>0</v>
      </c>
      <c r="G37" t="str">
        <v>Cash</v>
      </c>
      <c r="H37" t="str">
        <v>Thu Mar 12 2026</v>
      </c>
      <c r="I37" t="str">
        <v>Mon Mar 16 2026</v>
      </c>
    </row>
    <row r="38">
      <c r="A38">
        <v>2676</v>
      </c>
      <c r="B38" t="str">
        <v xml:space="preserve">Savita Soni </v>
      </c>
      <c r="C38" t="str">
        <v>Female</v>
      </c>
      <c r="D38">
        <v>50</v>
      </c>
      <c r="E38">
        <v>50</v>
      </c>
      <c r="F38">
        <v>0</v>
      </c>
      <c r="G38" t="str">
        <v>Cash</v>
      </c>
      <c r="H38" t="str">
        <v>Tue Mar 10 2026</v>
      </c>
      <c r="I38" t="str">
        <v>Mon Mar 16 2026</v>
      </c>
    </row>
    <row r="39">
      <c r="A39">
        <v>1600</v>
      </c>
      <c r="B39" t="str">
        <v>Gopal Tayal</v>
      </c>
      <c r="C39" t="str">
        <v>Male</v>
      </c>
      <c r="D39">
        <v>70</v>
      </c>
      <c r="E39">
        <v>70</v>
      </c>
      <c r="F39">
        <v>0</v>
      </c>
      <c r="G39" t="str">
        <v>Cash</v>
      </c>
      <c r="H39" t="str">
        <v>Fri Oct 17 2025</v>
      </c>
      <c r="I39" t="str">
        <v>Mon Mar 16 2026</v>
      </c>
    </row>
    <row r="40">
      <c r="A40">
        <v>2544</v>
      </c>
      <c r="B40" t="str">
        <v>Nitin singh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Mon Feb 23 2026</v>
      </c>
      <c r="I40" t="str">
        <v>Mon Mar 16 2026</v>
      </c>
    </row>
    <row r="41">
      <c r="A41">
        <v>2305</v>
      </c>
      <c r="B41" t="str">
        <v xml:space="preserve">Mahendra Varma </v>
      </c>
      <c r="C41" t="str">
        <v>Male</v>
      </c>
      <c r="D41">
        <v>70</v>
      </c>
      <c r="E41">
        <v>70</v>
      </c>
      <c r="F41">
        <v>0</v>
      </c>
      <c r="G41" t="str">
        <v>Cash</v>
      </c>
      <c r="H41" t="str">
        <v>Thu Jan 22 2026</v>
      </c>
      <c r="I41" t="str">
        <v>Mon Mar 16 2026</v>
      </c>
    </row>
    <row r="42">
      <c r="A42">
        <v>2702</v>
      </c>
      <c r="B42" t="str">
        <v>Kushma Devi Vimal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Fri Mar 13 2026</v>
      </c>
      <c r="I42" t="str">
        <v>Mon Mar 16 2026</v>
      </c>
    </row>
    <row r="43">
      <c r="A43">
        <v>2713</v>
      </c>
      <c r="B43" t="str">
        <v xml:space="preserve">Ketan kshirsagar </v>
      </c>
      <c r="C43" t="str">
        <v>Male</v>
      </c>
      <c r="D43">
        <v>110</v>
      </c>
      <c r="E43">
        <v>110</v>
      </c>
      <c r="F43">
        <v>0</v>
      </c>
      <c r="G43" t="str">
        <v>UPI</v>
      </c>
      <c r="H43" t="str">
        <v>Mon Mar 16 2026</v>
      </c>
      <c r="I43" t="str">
        <v>Mon Mar 16 2026</v>
      </c>
    </row>
    <row r="44">
      <c r="A44">
        <v>2674</v>
      </c>
      <c r="B44" t="str">
        <v xml:space="preserve">Mira Sharma </v>
      </c>
      <c r="C44" t="str">
        <v>Female</v>
      </c>
      <c r="D44">
        <v>50</v>
      </c>
      <c r="E44">
        <v>50</v>
      </c>
      <c r="F44">
        <v>0</v>
      </c>
      <c r="G44" t="str">
        <v>Cash</v>
      </c>
      <c r="H44" t="str">
        <v>Tue Mar 10 2026</v>
      </c>
      <c r="I44" t="str">
        <v>Mon Mar 16 2026</v>
      </c>
    </row>
    <row r="45">
      <c r="A45">
        <v>2701</v>
      </c>
      <c r="B45" t="str">
        <v xml:space="preserve">Geeta Goud </v>
      </c>
      <c r="C45" t="str">
        <v>Female</v>
      </c>
      <c r="D45">
        <v>50</v>
      </c>
      <c r="E45">
        <v>30</v>
      </c>
      <c r="F45">
        <v>20</v>
      </c>
      <c r="G45" t="str">
        <v>Cash</v>
      </c>
      <c r="H45" t="str">
        <v>Fri Mar 13 2026</v>
      </c>
      <c r="I45" t="str">
        <v>Mon Mar 16 2026</v>
      </c>
    </row>
    <row r="46">
      <c r="A46">
        <v>2697</v>
      </c>
      <c r="B46" t="str">
        <v xml:space="preserve">Sheetal Kushwaha 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Fri Mar 13 2026</v>
      </c>
      <c r="I46" t="str">
        <v>Mon Mar 16 2026</v>
      </c>
    </row>
    <row r="47">
      <c r="A47">
        <v>2714</v>
      </c>
      <c r="B47" t="str">
        <v xml:space="preserve">Kalpana Bhandari </v>
      </c>
      <c r="C47" t="str">
        <v>Female</v>
      </c>
      <c r="D47">
        <v>110</v>
      </c>
      <c r="E47">
        <v>70</v>
      </c>
      <c r="F47">
        <v>40</v>
      </c>
      <c r="G47" t="str">
        <v>Cash</v>
      </c>
      <c r="H47" t="str">
        <v>Mon Mar 16 2026</v>
      </c>
      <c r="I47" t="str">
        <v>Mon Mar 16 2026</v>
      </c>
    </row>
    <row r="48">
      <c r="A48">
        <v>2642</v>
      </c>
      <c r="B48" t="str">
        <v>Iti Jain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Fri Mar 06 2026</v>
      </c>
      <c r="I48" t="str">
        <v>Mon Mar 16 2026</v>
      </c>
    </row>
    <row r="49">
      <c r="A49">
        <v>2452</v>
      </c>
      <c r="B49" t="str">
        <v xml:space="preserve">B. S. Rajput </v>
      </c>
      <c r="C49" t="str">
        <v>Male</v>
      </c>
      <c r="D49">
        <v>50</v>
      </c>
      <c r="E49">
        <v>50</v>
      </c>
      <c r="F49">
        <v>0</v>
      </c>
      <c r="G49" t="str">
        <v>Cash</v>
      </c>
      <c r="H49" t="str">
        <v>Mon Feb 09 2026</v>
      </c>
      <c r="I49" t="str">
        <v>Mon Mar 16 2026</v>
      </c>
    </row>
    <row r="50">
      <c r="A50">
        <v>2715</v>
      </c>
      <c r="B50" t="str">
        <v xml:space="preserve">Sangita Sharma </v>
      </c>
      <c r="C50" t="str">
        <v>Female</v>
      </c>
      <c r="D50">
        <v>110</v>
      </c>
      <c r="E50">
        <v>110</v>
      </c>
      <c r="F50">
        <v>0</v>
      </c>
      <c r="G50" t="str">
        <v>Cash</v>
      </c>
      <c r="H50" t="str">
        <v>Mon Mar 16 2026</v>
      </c>
      <c r="I50" t="str">
        <v>Mon Mar 16 2026</v>
      </c>
    </row>
    <row r="51">
      <c r="A51">
        <v>2629</v>
      </c>
      <c r="B51" t="str">
        <v>Surjit Adak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Thu Mar 05 2026</v>
      </c>
      <c r="I51" t="str">
        <v>Mon Mar 16 2026</v>
      </c>
    </row>
    <row r="52">
      <c r="A52">
        <v>2689</v>
      </c>
      <c r="B52" t="str">
        <v xml:space="preserve">Mamta Namdev </v>
      </c>
      <c r="C52" t="str">
        <v>Female</v>
      </c>
      <c r="D52">
        <v>50</v>
      </c>
      <c r="E52">
        <v>50</v>
      </c>
      <c r="F52">
        <v>0</v>
      </c>
      <c r="G52" t="str">
        <v>Cash</v>
      </c>
      <c r="H52" t="str">
        <v>Thu Mar 12 2026</v>
      </c>
      <c r="I52" t="str">
        <v>Mon Mar 16 2026</v>
      </c>
    </row>
    <row r="53">
      <c r="A53">
        <v>2618</v>
      </c>
      <c r="B53" t="str">
        <v xml:space="preserve">Pramod Paliwal </v>
      </c>
      <c r="C53" t="str">
        <v>Male</v>
      </c>
      <c r="D53">
        <v>50</v>
      </c>
      <c r="E53">
        <v>50</v>
      </c>
      <c r="F53">
        <v>0</v>
      </c>
      <c r="G53" t="str">
        <v>Cash</v>
      </c>
      <c r="H53" t="str">
        <v>Mon Mar 02 2026</v>
      </c>
      <c r="I53" t="str">
        <v>Mon Mar 16 2026</v>
      </c>
    </row>
    <row r="54">
      <c r="A54">
        <v>2716</v>
      </c>
      <c r="B54" t="str">
        <v>Sweety sharma</v>
      </c>
      <c r="C54" t="str">
        <v>Female</v>
      </c>
      <c r="D54">
        <v>130</v>
      </c>
      <c r="E54">
        <v>130</v>
      </c>
      <c r="F54">
        <v>0</v>
      </c>
      <c r="G54" t="str">
        <v>UPI</v>
      </c>
      <c r="H54" t="str">
        <v>Mon Mar 16 2026</v>
      </c>
      <c r="I54" t="str">
        <v>Mon Mar 16 2026</v>
      </c>
    </row>
    <row r="55">
      <c r="A55">
        <v>2382</v>
      </c>
      <c r="B55" t="str">
        <v xml:space="preserve">Vijay Rathore </v>
      </c>
      <c r="C55" t="str">
        <v>Male</v>
      </c>
      <c r="D55">
        <v>50</v>
      </c>
      <c r="E55">
        <v>50</v>
      </c>
      <c r="F55">
        <v>0</v>
      </c>
      <c r="G55" t="str">
        <v>UPI</v>
      </c>
      <c r="H55" t="str">
        <v>Mon Feb 02 2026</v>
      </c>
      <c r="I55" t="str">
        <v>Mon Mar 16 2026</v>
      </c>
    </row>
    <row r="56">
      <c r="A56">
        <v>2633</v>
      </c>
      <c r="B56" t="str">
        <v xml:space="preserve">Resham Baghel </v>
      </c>
      <c r="C56" t="str">
        <v>Female</v>
      </c>
      <c r="D56">
        <v>50</v>
      </c>
      <c r="E56">
        <v>50</v>
      </c>
      <c r="F56">
        <v>0</v>
      </c>
      <c r="G56" t="str">
        <v>Cash</v>
      </c>
      <c r="H56" t="str">
        <v>Thu Mar 05 2026</v>
      </c>
      <c r="I56" t="str">
        <v>Mon Mar 16 2026</v>
      </c>
    </row>
    <row r="57">
      <c r="A57">
        <v>2717</v>
      </c>
      <c r="B57" t="str">
        <v xml:space="preserve">Ashish Sharma </v>
      </c>
      <c r="C57" t="str">
        <v>Male</v>
      </c>
      <c r="D57">
        <v>110</v>
      </c>
      <c r="E57">
        <v>110</v>
      </c>
      <c r="F57">
        <v>0</v>
      </c>
      <c r="G57" t="str">
        <v>UPI</v>
      </c>
      <c r="H57" t="str">
        <v>Mon Mar 16 2026</v>
      </c>
      <c r="I57" t="str">
        <v>Mon Mar 16 2026</v>
      </c>
    </row>
    <row r="58">
      <c r="A58">
        <v>2669</v>
      </c>
      <c r="B58" t="str">
        <v>Jay Prakash Diya</v>
      </c>
      <c r="C58" t="str">
        <v>Male</v>
      </c>
      <c r="D58">
        <v>50</v>
      </c>
      <c r="E58">
        <v>50</v>
      </c>
      <c r="F58">
        <v>0</v>
      </c>
      <c r="G58" t="str">
        <v>UPI</v>
      </c>
      <c r="H58" t="str">
        <v>Mon Mar 09 2026</v>
      </c>
      <c r="I58" t="str">
        <v>Mon Mar 16 2026</v>
      </c>
    </row>
    <row r="59">
      <c r="A59">
        <v>2524</v>
      </c>
      <c r="B59" t="str">
        <v xml:space="preserve">Govind Gupta </v>
      </c>
      <c r="C59" t="str">
        <v>Male</v>
      </c>
      <c r="D59">
        <v>50</v>
      </c>
      <c r="E59">
        <v>50</v>
      </c>
      <c r="F59">
        <v>0</v>
      </c>
      <c r="G59" t="str">
        <v>Cash</v>
      </c>
      <c r="H59" t="str">
        <v>Wed Feb 18 2026</v>
      </c>
      <c r="I59" t="str">
        <v>Mon Mar 16 2026</v>
      </c>
    </row>
    <row r="60">
      <c r="A60">
        <v>2646</v>
      </c>
      <c r="B60" t="str">
        <v xml:space="preserve">Mira Varma </v>
      </c>
      <c r="C60" t="str">
        <v>Female</v>
      </c>
      <c r="D60">
        <v>50</v>
      </c>
      <c r="E60">
        <v>50</v>
      </c>
      <c r="F60">
        <v>0</v>
      </c>
      <c r="G60" t="str">
        <v>Cash</v>
      </c>
      <c r="H60" t="str">
        <v>Fri Mar 06 2026</v>
      </c>
      <c r="I60" t="str">
        <v>Mon Mar 16 2026</v>
      </c>
    </row>
    <row r="61">
      <c r="A61">
        <v>2625</v>
      </c>
      <c r="B61" t="str">
        <v>Vijay khetan</v>
      </c>
      <c r="C61" t="str">
        <v>Male</v>
      </c>
      <c r="D61">
        <v>50</v>
      </c>
      <c r="E61">
        <v>50</v>
      </c>
      <c r="F61">
        <v>0</v>
      </c>
      <c r="G61" t="str">
        <v>Cash</v>
      </c>
      <c r="H61" t="str">
        <v>Thu Mar 05 2026</v>
      </c>
      <c r="I61" t="str">
        <v>Mon Mar 16 2026</v>
      </c>
    </row>
    <row r="62">
      <c r="A62">
        <v>2711</v>
      </c>
      <c r="B62" t="str">
        <v xml:space="preserve">Krishnakant Sharma </v>
      </c>
      <c r="C62" t="str">
        <v>Male</v>
      </c>
      <c r="D62">
        <v>50</v>
      </c>
      <c r="E62">
        <v>50</v>
      </c>
      <c r="F62">
        <v>0</v>
      </c>
      <c r="G62" t="str">
        <v>UPI</v>
      </c>
      <c r="H62" t="str">
        <v>Sat Mar 14 2026</v>
      </c>
      <c r="I62" t="str">
        <v>Mon Mar 16 2026</v>
      </c>
    </row>
    <row r="63">
      <c r="A63">
        <v>2686</v>
      </c>
      <c r="B63" t="str">
        <v xml:space="preserve">Devilal Kasera </v>
      </c>
      <c r="C63" t="str">
        <v>Male</v>
      </c>
      <c r="D63">
        <v>50</v>
      </c>
      <c r="E63">
        <v>50</v>
      </c>
      <c r="F63">
        <v>0</v>
      </c>
      <c r="G63" t="str">
        <v>Cash</v>
      </c>
      <c r="H63" t="str">
        <v>Thu Mar 12 2026</v>
      </c>
      <c r="I63" t="str">
        <v>Mon Mar 16 2026</v>
      </c>
    </row>
    <row r="64">
      <c r="A64">
        <v>2383</v>
      </c>
      <c r="B64" t="str">
        <v xml:space="preserve">Kalpana Bhawsar </v>
      </c>
      <c r="C64" t="str">
        <v>Female</v>
      </c>
      <c r="D64">
        <v>50</v>
      </c>
      <c r="E64">
        <v>50</v>
      </c>
      <c r="F64">
        <v>0</v>
      </c>
      <c r="G64" t="str">
        <v>Cash</v>
      </c>
      <c r="H64" t="str">
        <v>Mon Feb 02 2026</v>
      </c>
      <c r="I64" t="str">
        <v>Mon Mar 16 2026</v>
      </c>
    </row>
    <row r="65">
      <c r="A65">
        <v>2671</v>
      </c>
      <c r="B65" t="str">
        <v xml:space="preserve">Omprakash Agrawal </v>
      </c>
      <c r="C65" t="str">
        <v>Male</v>
      </c>
      <c r="D65">
        <v>50</v>
      </c>
      <c r="E65">
        <v>50</v>
      </c>
      <c r="F65">
        <v>0</v>
      </c>
      <c r="G65" t="str">
        <v>Cash</v>
      </c>
      <c r="H65" t="str">
        <v>Mon Mar 09 2026</v>
      </c>
      <c r="I65" t="str">
        <v>Mon Mar 16 2026</v>
      </c>
    </row>
    <row r="66">
      <c r="A66">
        <v>2670</v>
      </c>
      <c r="B66" t="str">
        <v>Manjulata Aragwal</v>
      </c>
      <c r="C66" t="str">
        <v>Female</v>
      </c>
      <c r="D66">
        <v>70</v>
      </c>
      <c r="E66">
        <v>70</v>
      </c>
      <c r="F66">
        <v>0</v>
      </c>
      <c r="G66" t="str">
        <v>Cash</v>
      </c>
      <c r="H66" t="str">
        <v>Mon Mar 09 2026</v>
      </c>
      <c r="I66" t="str">
        <v>Mon Mar 16 2026</v>
      </c>
    </row>
    <row r="67">
      <c r="A67">
        <v>2456</v>
      </c>
      <c r="B67" t="str">
        <v xml:space="preserve">D. P. Goyal </v>
      </c>
      <c r="C67" t="str">
        <v>Male</v>
      </c>
      <c r="D67">
        <v>50</v>
      </c>
      <c r="E67">
        <v>50</v>
      </c>
      <c r="F67">
        <v>0</v>
      </c>
      <c r="G67" t="str">
        <v>Cash</v>
      </c>
      <c r="H67" t="str">
        <v>Mon Feb 09 2026</v>
      </c>
      <c r="I67" t="str">
        <v>Mon Mar 16 2026</v>
      </c>
    </row>
    <row r="68">
      <c r="A68">
        <v>2682</v>
      </c>
      <c r="B68" t="str">
        <v xml:space="preserve">Munni Goyal </v>
      </c>
      <c r="C68" t="str">
        <v>Female</v>
      </c>
      <c r="D68">
        <v>70</v>
      </c>
      <c r="E68">
        <v>70</v>
      </c>
      <c r="F68">
        <v>0</v>
      </c>
      <c r="G68" t="str">
        <v>Cash</v>
      </c>
      <c r="H68" t="str">
        <v>Tue Mar 10 2026</v>
      </c>
      <c r="I68" t="str">
        <v>Mon Mar 16 2026</v>
      </c>
    </row>
    <row r="69">
      <c r="A69">
        <v>2666</v>
      </c>
      <c r="B69" t="str">
        <v>Bharti Bhomik</v>
      </c>
      <c r="C69" t="str">
        <v>Female</v>
      </c>
      <c r="D69">
        <v>50</v>
      </c>
      <c r="E69">
        <v>50</v>
      </c>
      <c r="F69">
        <v>0</v>
      </c>
      <c r="G69" t="str">
        <v>Cash</v>
      </c>
      <c r="H69" t="str">
        <v>Mon Mar 09 2026</v>
      </c>
      <c r="I69" t="str">
        <v>Mon Mar 16 2026</v>
      </c>
    </row>
    <row r="70">
      <c r="A70">
        <v>2614</v>
      </c>
      <c r="B70" t="str">
        <v xml:space="preserve">Sushma Morya </v>
      </c>
      <c r="C70" t="str">
        <v>Female</v>
      </c>
      <c r="D70">
        <v>50</v>
      </c>
      <c r="E70">
        <v>50</v>
      </c>
      <c r="F70">
        <v>0</v>
      </c>
      <c r="G70" t="str">
        <v>Cash</v>
      </c>
      <c r="H70" t="str">
        <v>Mon Mar 02 2026</v>
      </c>
      <c r="I70" t="str">
        <v>Mon Mar 16 2026</v>
      </c>
    </row>
    <row r="71">
      <c r="A71">
        <v>2658</v>
      </c>
      <c r="B71" t="str">
        <v xml:space="preserve">Nanuram Prajapat </v>
      </c>
      <c r="C71" t="str">
        <v>Male</v>
      </c>
      <c r="D71">
        <v>50</v>
      </c>
      <c r="E71">
        <v>30</v>
      </c>
      <c r="F71">
        <v>20</v>
      </c>
      <c r="G71" t="str">
        <v>Cash</v>
      </c>
      <c r="H71" t="str">
        <v>Sat Mar 07 2026</v>
      </c>
      <c r="I71" t="str">
        <v>Mon Mar 16 2026</v>
      </c>
    </row>
    <row r="72">
      <c r="A72">
        <v>2477</v>
      </c>
      <c r="B72" t="str">
        <v xml:space="preserve">Mrignayani Parmar </v>
      </c>
      <c r="C72" t="str">
        <v>Female</v>
      </c>
      <c r="D72">
        <v>110</v>
      </c>
      <c r="E72">
        <v>110</v>
      </c>
      <c r="F72">
        <v>0</v>
      </c>
      <c r="G72" t="str">
        <v>Cash</v>
      </c>
      <c r="H72" t="str">
        <v>Wed Feb 11 2026</v>
      </c>
      <c r="I72" t="str">
        <v>Mon Mar 16 2026</v>
      </c>
    </row>
    <row r="73">
      <c r="A73">
        <v>2648</v>
      </c>
      <c r="B73" t="str">
        <v xml:space="preserve">Paramvir Singh </v>
      </c>
      <c r="C73" t="str">
        <v>Male</v>
      </c>
      <c r="D73">
        <v>50</v>
      </c>
      <c r="E73">
        <v>50</v>
      </c>
      <c r="F73">
        <v>0</v>
      </c>
      <c r="G73" t="str">
        <v>UPI</v>
      </c>
      <c r="H73" t="str">
        <v>Fri Mar 06 2026</v>
      </c>
      <c r="I73" t="str">
        <v>Mon Mar 16 2026</v>
      </c>
    </row>
    <row r="74">
      <c r="A74">
        <v>2690</v>
      </c>
      <c r="B74" t="str">
        <v xml:space="preserve">Sarika salunge </v>
      </c>
      <c r="C74" t="str">
        <v>Female</v>
      </c>
      <c r="D74">
        <v>50</v>
      </c>
      <c r="E74">
        <v>50</v>
      </c>
      <c r="F74">
        <v>0</v>
      </c>
      <c r="G74" t="str">
        <v>Cash</v>
      </c>
      <c r="H74" t="str">
        <v>Thu Mar 12 2026</v>
      </c>
      <c r="I74" t="str">
        <v>Mon Mar 16 2026</v>
      </c>
    </row>
    <row r="75">
      <c r="A75">
        <v>2142</v>
      </c>
      <c r="B75" t="str">
        <v xml:space="preserve">Santosh Kapurpura </v>
      </c>
      <c r="C75" t="str">
        <v>Female</v>
      </c>
      <c r="D75">
        <v>50</v>
      </c>
      <c r="E75">
        <v>0</v>
      </c>
      <c r="F75">
        <v>50</v>
      </c>
      <c r="G75" t="str">
        <v>Cash</v>
      </c>
      <c r="H75" t="str">
        <v>Tue Dec 30 2025</v>
      </c>
      <c r="I75" t="str">
        <v>Mon Mar 16 2026</v>
      </c>
    </row>
    <row r="76">
      <c r="A76">
        <v>2030</v>
      </c>
      <c r="B76" t="str">
        <v xml:space="preserve">Subhash Kapoor </v>
      </c>
      <c r="C76" t="str">
        <v>Male</v>
      </c>
      <c r="D76">
        <v>50</v>
      </c>
      <c r="E76">
        <v>0</v>
      </c>
      <c r="F76">
        <v>50</v>
      </c>
      <c r="G76" t="str">
        <v>Cash</v>
      </c>
      <c r="H76" t="str">
        <v>Mon Dec 15 2025</v>
      </c>
      <c r="I76" t="str">
        <v>Mon Mar 16 2026</v>
      </c>
    </row>
    <row r="77">
      <c r="A77">
        <v>2693</v>
      </c>
      <c r="B77" t="str">
        <v xml:space="preserve">Sangita Goyal </v>
      </c>
      <c r="C77" t="str">
        <v>Female</v>
      </c>
      <c r="D77">
        <v>50</v>
      </c>
      <c r="E77">
        <v>50</v>
      </c>
      <c r="F77">
        <v>0</v>
      </c>
      <c r="G77" t="str">
        <v>Cash</v>
      </c>
      <c r="H77" t="str">
        <v>Thu Mar 12 2026</v>
      </c>
      <c r="I77" t="str">
        <v>Mon Mar 16 2026</v>
      </c>
    </row>
    <row r="78">
      <c r="A78">
        <v>2644</v>
      </c>
      <c r="B78" t="str">
        <v>Laxmi Sambhariya</v>
      </c>
      <c r="C78" t="str">
        <v>Female</v>
      </c>
      <c r="D78">
        <v>50</v>
      </c>
      <c r="E78">
        <v>50</v>
      </c>
      <c r="F78">
        <v>0</v>
      </c>
      <c r="G78" t="str">
        <v>Cash</v>
      </c>
      <c r="H78" t="str">
        <v>Fri Mar 06 2026</v>
      </c>
      <c r="I78" t="str">
        <v>Mon Mar 16 2026</v>
      </c>
    </row>
    <row r="79">
      <c r="A79">
        <v>2718</v>
      </c>
      <c r="B79" t="str">
        <v>Rajesh Jain</v>
      </c>
      <c r="C79" t="str">
        <v>Male</v>
      </c>
      <c r="D79">
        <v>110</v>
      </c>
      <c r="E79">
        <v>110</v>
      </c>
      <c r="F79">
        <v>0</v>
      </c>
      <c r="G79" t="str">
        <v>Cash</v>
      </c>
      <c r="H79" t="str">
        <v>Mon Mar 16 2026</v>
      </c>
      <c r="I79" t="str">
        <v>Mon Mar 16 2026</v>
      </c>
    </row>
    <row r="80">
      <c r="A80">
        <v>2719</v>
      </c>
      <c r="B80" t="str">
        <v xml:space="preserve">Prabha </v>
      </c>
      <c r="C80" t="str">
        <v>Female</v>
      </c>
      <c r="D80">
        <v>110</v>
      </c>
      <c r="E80">
        <v>110</v>
      </c>
      <c r="F80">
        <v>0</v>
      </c>
      <c r="G80" t="str">
        <v>Cash</v>
      </c>
      <c r="H80" t="str">
        <v>Mon Mar 16 2026</v>
      </c>
      <c r="I80" t="str">
        <v>Mon Mar 16 2026</v>
      </c>
    </row>
    <row r="81">
      <c r="A81">
        <v>2720</v>
      </c>
      <c r="B81" t="str">
        <v>Rajesh Sankhla</v>
      </c>
      <c r="C81" t="str">
        <v>Male</v>
      </c>
      <c r="D81">
        <v>110</v>
      </c>
      <c r="E81">
        <v>110</v>
      </c>
      <c r="F81">
        <v>0</v>
      </c>
      <c r="G81" t="str">
        <v>Cash</v>
      </c>
      <c r="H81" t="str">
        <v>Mon Mar 16 2026</v>
      </c>
      <c r="I81" t="str">
        <v>Mon Mar 16 2026</v>
      </c>
    </row>
    <row r="82">
      <c r="A82">
        <v>2660</v>
      </c>
      <c r="B82" t="str">
        <v xml:space="preserve">Ajay Chauhan </v>
      </c>
      <c r="C82" t="str">
        <v>Male</v>
      </c>
      <c r="D82">
        <v>50</v>
      </c>
      <c r="E82">
        <v>50</v>
      </c>
      <c r="F82">
        <v>0</v>
      </c>
      <c r="G82" t="str">
        <v>Cash</v>
      </c>
      <c r="H82" t="str">
        <v>Sat Mar 07 2026</v>
      </c>
      <c r="I82" t="str">
        <v>Mon Mar 16 2026</v>
      </c>
    </row>
    <row r="83">
      <c r="A83">
        <v>2685</v>
      </c>
      <c r="B83" t="str">
        <v xml:space="preserve">Anjali Pawar </v>
      </c>
      <c r="C83" t="str">
        <v>Female</v>
      </c>
      <c r="D83">
        <v>50</v>
      </c>
      <c r="E83">
        <v>50</v>
      </c>
      <c r="F83">
        <v>0</v>
      </c>
      <c r="G83" t="str">
        <v>UPI</v>
      </c>
      <c r="H83" t="str">
        <v>Wed Mar 11 2026</v>
      </c>
      <c r="I83" t="str">
        <v>Mon Mar 16 2026</v>
      </c>
    </row>
    <row r="84">
      <c r="A84">
        <v>2721</v>
      </c>
      <c r="B84" t="str">
        <v xml:space="preserve">Ashish Parmar </v>
      </c>
      <c r="C84" t="str">
        <v>Male</v>
      </c>
      <c r="D84">
        <v>110</v>
      </c>
      <c r="E84">
        <v>110</v>
      </c>
      <c r="F84">
        <v>0</v>
      </c>
      <c r="G84" t="str">
        <v>UPI</v>
      </c>
      <c r="H84" t="str">
        <v>Mon Mar 16 2026</v>
      </c>
      <c r="I84" t="str">
        <v>Mon Mar 16 2026</v>
      </c>
    </row>
    <row r="85">
      <c r="A85">
        <v>2723</v>
      </c>
      <c r="B85" t="str">
        <v>Sangeeta Negi</v>
      </c>
      <c r="C85" t="str">
        <v>Female</v>
      </c>
      <c r="D85">
        <v>110</v>
      </c>
      <c r="E85">
        <v>110</v>
      </c>
      <c r="F85">
        <v>0</v>
      </c>
      <c r="G85" t="str">
        <v>UPI</v>
      </c>
      <c r="H85" t="str">
        <v>Mon Mar 16 2026</v>
      </c>
      <c r="I85" t="str">
        <v>Mon Mar 16 2026</v>
      </c>
    </row>
    <row r="86">
      <c r="A86">
        <v>2724</v>
      </c>
      <c r="B86" t="str">
        <v>Parth Billore</v>
      </c>
      <c r="C86" t="str">
        <v>Male</v>
      </c>
      <c r="D86">
        <v>110</v>
      </c>
      <c r="E86">
        <v>110</v>
      </c>
      <c r="F86">
        <v>0</v>
      </c>
      <c r="G86" t="str">
        <v>UPI</v>
      </c>
      <c r="H86" t="str">
        <v>Mon Mar 16 2026</v>
      </c>
      <c r="I86" t="str">
        <v>Mon Mar 16 2026</v>
      </c>
    </row>
    <row r="87">
      <c r="A87">
        <v>2679</v>
      </c>
      <c r="B87" t="str">
        <v xml:space="preserve">Sima Patel </v>
      </c>
      <c r="C87" t="str">
        <v>Female</v>
      </c>
      <c r="D87">
        <v>50</v>
      </c>
      <c r="E87">
        <v>50</v>
      </c>
      <c r="F87">
        <v>0</v>
      </c>
      <c r="G87" t="str">
        <v>Cash</v>
      </c>
      <c r="H87" t="str">
        <v>Tue Mar 10 2026</v>
      </c>
      <c r="I87" t="str">
        <v>Mon Mar 16 2026</v>
      </c>
    </row>
    <row r="88">
      <c r="A88">
        <v>2637</v>
      </c>
      <c r="B88" t="str">
        <v xml:space="preserve">Aakash Chourasia </v>
      </c>
      <c r="C88" t="str">
        <v>Male</v>
      </c>
      <c r="D88">
        <v>50</v>
      </c>
      <c r="E88">
        <v>50</v>
      </c>
      <c r="F88">
        <v>0</v>
      </c>
      <c r="G88" t="str">
        <v>UPI</v>
      </c>
      <c r="H88" t="str">
        <v>Thu Mar 05 2026</v>
      </c>
      <c r="I88" t="str">
        <v>Mon Mar 16 2026</v>
      </c>
    </row>
    <row r="89">
      <c r="A89">
        <v>2725</v>
      </c>
      <c r="B89" t="str">
        <v xml:space="preserve">Mukesh Ojha </v>
      </c>
      <c r="C89" t="str">
        <v>Male</v>
      </c>
      <c r="D89">
        <v>110</v>
      </c>
      <c r="E89">
        <v>110</v>
      </c>
      <c r="F89">
        <v>0</v>
      </c>
      <c r="G89" t="str">
        <v>Cash</v>
      </c>
      <c r="H89" t="str">
        <v>Mon Mar 16 2026</v>
      </c>
      <c r="I89" t="str">
        <v>Mon Mar 16 2026</v>
      </c>
    </row>
    <row r="90">
      <c r="A90">
        <v>2722</v>
      </c>
      <c r="B90" t="str">
        <v xml:space="preserve">Manju Chodhary </v>
      </c>
      <c r="C90" t="str">
        <v>Female</v>
      </c>
      <c r="D90">
        <v>110</v>
      </c>
      <c r="E90">
        <v>110</v>
      </c>
      <c r="F90">
        <v>0</v>
      </c>
      <c r="G90" t="str">
        <v>Cash</v>
      </c>
      <c r="H90" t="str">
        <v>Mon Mar 16 2026</v>
      </c>
      <c r="I90" t="str">
        <v>Mon Mar 16 2026</v>
      </c>
    </row>
  </sheetData>
  <ignoredErrors>
    <ignoredError numberStoredAsText="1" sqref="A1:N9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84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Sat Mar 14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SUM(D10:D84)</f>
      </c>
      <c r="B7" t="e">
        <f t="array" ref="B7">SUM(E10:E84)</f>
      </c>
      <c r="C7" t="e">
        <f t="array" ref="C7">SUMIF(G10:G84, "Cash", E10:E84)</f>
      </c>
      <c r="D7" t="e">
        <f t="array" ref="D7">SUMIF(G10:G84, "UPI", E10:E84)</f>
      </c>
      <c r="E7" t="e">
        <f t="array" ref="E7">COUNTA(G10:G84)</f>
      </c>
      <c r="F7" t="e">
        <f t="array" ref="F7">COUNTIF(G10:G84, "Cash")</f>
      </c>
      <c r="G7" t="e">
        <f t="array" ref="G7">COUNTIF(G10:G84, "UPI")</f>
      </c>
      <c r="H7" t="e">
        <f t="array" ref="H7">SUM(F10:F84)</f>
      </c>
      <c r="I7" t="e">
        <f t="array" ref="I7">COUNT(FILTER(F10:F84, F10:F84=D10:D84))</f>
      </c>
      <c r="J7" t="e">
        <f t="array" ref="J7">IFERROR(ROWS(UNIQUE(FILTER(A10:A84,C10:C84="Male"))),0)</f>
      </c>
      <c r="K7" t="e">
        <f t="array" ref="K7">IFERROR(ROWS(UNIQUE(FILTER(A10:A84,C10:C84="Female"))),0)</f>
      </c>
      <c r="L7" t="e">
        <f t="array" ref="L7">IFERROR(ROWS(UNIQUE(FILTER(A10:A84,H10:H84=I10))),0)</f>
      </c>
      <c r="M7" t="e">
        <f t="array" ref="M7">IFERROR(ROWS(UNIQUE(FILTER(A10:A84,H10:H84&lt;&gt;I10))),0)</f>
      </c>
      <c r="N7" t="e">
        <f t="array" ref="N7">IFERROR(ROWS(UNIQUE(A10:A84)),0)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2489</v>
      </c>
      <c r="B10" t="str">
        <v xml:space="preserve">Anjana Agrawal </v>
      </c>
      <c r="C10" t="str">
        <v>Female</v>
      </c>
      <c r="D10">
        <v>70</v>
      </c>
      <c r="E10">
        <v>70</v>
      </c>
      <c r="F10">
        <v>0</v>
      </c>
      <c r="G10" t="str">
        <v>Cash</v>
      </c>
      <c r="H10" t="str">
        <v>Fri Feb 13 2026</v>
      </c>
      <c r="I10" t="str">
        <v>Sat Mar 14 2026</v>
      </c>
    </row>
    <row r="11">
      <c r="A11">
        <v>2667</v>
      </c>
      <c r="B11" t="str">
        <v xml:space="preserve">Abhishek Yadav </v>
      </c>
      <c r="C11" t="str">
        <v>Male</v>
      </c>
      <c r="D11">
        <v>50</v>
      </c>
      <c r="E11">
        <v>50</v>
      </c>
      <c r="F11">
        <v>0</v>
      </c>
      <c r="G11" t="str">
        <v>Cash</v>
      </c>
      <c r="H11" t="str">
        <v>Mon Mar 09 2026</v>
      </c>
      <c r="I11" t="str">
        <v>Sat Mar 14 2026</v>
      </c>
    </row>
    <row r="12">
      <c r="A12">
        <v>2700</v>
      </c>
      <c r="B12" t="str">
        <v xml:space="preserve">Kaladevi Lodhi </v>
      </c>
      <c r="C12" t="str">
        <v>Female</v>
      </c>
      <c r="D12">
        <v>50</v>
      </c>
      <c r="E12">
        <v>50</v>
      </c>
      <c r="F12">
        <v>0</v>
      </c>
      <c r="G12" t="str">
        <v>Cash</v>
      </c>
      <c r="H12" t="str">
        <v>Fri Mar 13 2026</v>
      </c>
      <c r="I12" t="str">
        <v>Sat Mar 14 2026</v>
      </c>
    </row>
    <row r="13">
      <c r="A13">
        <v>2696</v>
      </c>
      <c r="B13" t="str">
        <v>Giriraj Shrimal</v>
      </c>
      <c r="C13" t="str">
        <v>Male</v>
      </c>
      <c r="D13">
        <v>50</v>
      </c>
      <c r="E13">
        <v>50</v>
      </c>
      <c r="F13">
        <v>0</v>
      </c>
      <c r="G13" t="str">
        <v>UPI</v>
      </c>
      <c r="H13" t="str">
        <v>Fri Mar 13 2026</v>
      </c>
      <c r="I13" t="str">
        <v>Sat Mar 14 2026</v>
      </c>
    </row>
    <row r="14">
      <c r="A14">
        <v>2661</v>
      </c>
      <c r="B14" t="str">
        <v xml:space="preserve">Manish Pancholi </v>
      </c>
      <c r="C14" t="str">
        <v>Male</v>
      </c>
      <c r="D14">
        <v>50</v>
      </c>
      <c r="E14">
        <v>50</v>
      </c>
      <c r="F14">
        <v>0</v>
      </c>
      <c r="G14" t="str">
        <v>UPI</v>
      </c>
      <c r="H14" t="str">
        <v>Mon Mar 09 2026</v>
      </c>
      <c r="I14" t="str">
        <v>Sat Mar 14 2026</v>
      </c>
    </row>
    <row r="15">
      <c r="A15">
        <v>2529</v>
      </c>
      <c r="B15" t="str">
        <v xml:space="preserve">Rajani Joshi </v>
      </c>
      <c r="C15" t="str">
        <v>Female</v>
      </c>
      <c r="D15">
        <v>70</v>
      </c>
      <c r="E15">
        <v>70</v>
      </c>
      <c r="F15">
        <v>0</v>
      </c>
      <c r="G15" t="str">
        <v>UPI</v>
      </c>
      <c r="H15" t="str">
        <v>Fri Feb 20 2026</v>
      </c>
      <c r="I15" t="str">
        <v>Sat Mar 14 2026</v>
      </c>
    </row>
    <row r="16">
      <c r="A16">
        <v>2703</v>
      </c>
      <c r="B16" t="str">
        <v xml:space="preserve">Dipika Shukla </v>
      </c>
      <c r="C16" t="str">
        <v>Female</v>
      </c>
      <c r="D16">
        <v>50</v>
      </c>
      <c r="E16">
        <v>50</v>
      </c>
      <c r="F16">
        <v>0</v>
      </c>
      <c r="G16" t="str">
        <v>Cash</v>
      </c>
      <c r="H16" t="str">
        <v>Fri Mar 13 2026</v>
      </c>
      <c r="I16" t="str">
        <v>Sat Mar 14 2026</v>
      </c>
    </row>
    <row r="17">
      <c r="A17">
        <v>2662</v>
      </c>
      <c r="B17" t="str">
        <v xml:space="preserve">Gajendra Khare 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Mon Mar 09 2026</v>
      </c>
      <c r="I17" t="str">
        <v>Sat Mar 14 2026</v>
      </c>
    </row>
    <row r="18">
      <c r="A18">
        <v>2686</v>
      </c>
      <c r="B18" t="str">
        <v xml:space="preserve">Devilal Kasera </v>
      </c>
      <c r="C18" t="str">
        <v>Male</v>
      </c>
      <c r="D18">
        <v>50</v>
      </c>
      <c r="E18">
        <v>50</v>
      </c>
      <c r="F18">
        <v>0</v>
      </c>
      <c r="G18" t="str">
        <v>Cash</v>
      </c>
      <c r="H18" t="str">
        <v>Thu Mar 12 2026</v>
      </c>
      <c r="I18" t="str">
        <v>Sat Mar 14 2026</v>
      </c>
    </row>
    <row r="19">
      <c r="A19">
        <v>2624</v>
      </c>
      <c r="B19" t="str">
        <v xml:space="preserve">Mukesh Chauhan </v>
      </c>
      <c r="C19" t="str">
        <v>Male</v>
      </c>
      <c r="D19">
        <v>50</v>
      </c>
      <c r="E19">
        <v>50</v>
      </c>
      <c r="F19">
        <v>0</v>
      </c>
      <c r="G19" t="str">
        <v>UPI</v>
      </c>
      <c r="H19" t="str">
        <v>Thu Mar 05 2026</v>
      </c>
      <c r="I19" t="str">
        <v>Sat Mar 14 2026</v>
      </c>
    </row>
    <row r="20">
      <c r="A20">
        <v>2289</v>
      </c>
      <c r="B20" t="str">
        <v xml:space="preserve">Jaibir Singh 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Tue Jan 20 2026</v>
      </c>
      <c r="I20" t="str">
        <v>Sat Mar 14 2026</v>
      </c>
    </row>
    <row r="21">
      <c r="A21">
        <v>1645</v>
      </c>
      <c r="B21" t="str">
        <v>Jaiprakash Mishra</v>
      </c>
      <c r="C21" t="str">
        <v>Male</v>
      </c>
      <c r="D21">
        <v>50</v>
      </c>
      <c r="E21">
        <v>50</v>
      </c>
      <c r="F21">
        <v>0</v>
      </c>
      <c r="G21" t="str">
        <v>Cash</v>
      </c>
      <c r="H21" t="str">
        <v>Mon Oct 27 2025</v>
      </c>
      <c r="I21" t="str">
        <v>Sat Mar 14 2026</v>
      </c>
    </row>
    <row r="22">
      <c r="A22">
        <v>2687</v>
      </c>
      <c r="B22" t="str">
        <v xml:space="preserve">Hempushpa Chouhan </v>
      </c>
      <c r="C22" t="str">
        <v>Female</v>
      </c>
      <c r="D22">
        <v>50</v>
      </c>
      <c r="E22">
        <v>50</v>
      </c>
      <c r="F22">
        <v>0</v>
      </c>
      <c r="G22" t="str">
        <v>Cash</v>
      </c>
      <c r="H22" t="str">
        <v>Thu Mar 12 2026</v>
      </c>
      <c r="I22" t="str">
        <v>Sat Mar 14 2026</v>
      </c>
    </row>
    <row r="23">
      <c r="A23">
        <v>2656</v>
      </c>
      <c r="B23" t="str">
        <v xml:space="preserve">Ashish Varma </v>
      </c>
      <c r="C23" t="str">
        <v>Male</v>
      </c>
      <c r="D23">
        <v>50</v>
      </c>
      <c r="E23">
        <v>50</v>
      </c>
      <c r="F23">
        <v>0</v>
      </c>
      <c r="G23" t="str">
        <v>Cash</v>
      </c>
      <c r="H23" t="str">
        <v>Sat Mar 07 2026</v>
      </c>
      <c r="I23" t="str">
        <v>Sat Mar 14 2026</v>
      </c>
    </row>
    <row r="24">
      <c r="A24">
        <v>2697</v>
      </c>
      <c r="B24" t="str">
        <v xml:space="preserve">Sheetal Kushwaha </v>
      </c>
      <c r="C24" t="str">
        <v>Female</v>
      </c>
      <c r="D24">
        <v>50</v>
      </c>
      <c r="E24">
        <v>50</v>
      </c>
      <c r="F24">
        <v>0</v>
      </c>
      <c r="G24" t="str">
        <v>Cash</v>
      </c>
      <c r="H24" t="str">
        <v>Fri Mar 13 2026</v>
      </c>
      <c r="I24" t="str">
        <v>Sat Mar 14 2026</v>
      </c>
    </row>
    <row r="25">
      <c r="A25">
        <v>2451</v>
      </c>
      <c r="B25" t="str">
        <v xml:space="preserve">Prakash Joshi </v>
      </c>
      <c r="C25" t="str">
        <v>Male</v>
      </c>
      <c r="D25">
        <v>70</v>
      </c>
      <c r="E25">
        <v>70</v>
      </c>
      <c r="F25">
        <v>0</v>
      </c>
      <c r="G25" t="str">
        <v>Cash</v>
      </c>
      <c r="H25" t="str">
        <v>Mon Feb 09 2026</v>
      </c>
      <c r="I25" t="str">
        <v>Sat Mar 14 2026</v>
      </c>
    </row>
    <row r="26">
      <c r="A26">
        <v>2669</v>
      </c>
      <c r="B26" t="str">
        <v>Jay Prakash Diya</v>
      </c>
      <c r="C26" t="str">
        <v>Male</v>
      </c>
      <c r="D26">
        <v>50</v>
      </c>
      <c r="E26">
        <v>50</v>
      </c>
      <c r="F26">
        <v>0</v>
      </c>
      <c r="G26" t="str">
        <v>UPI</v>
      </c>
      <c r="H26" t="str">
        <v>Mon Mar 09 2026</v>
      </c>
      <c r="I26" t="str">
        <v>Sat Mar 14 2026</v>
      </c>
    </row>
    <row r="27">
      <c r="A27">
        <v>2640</v>
      </c>
      <c r="B27" t="str">
        <v xml:space="preserve">Antul Jain </v>
      </c>
      <c r="C27" t="str">
        <v>Male</v>
      </c>
      <c r="D27">
        <v>50</v>
      </c>
      <c r="E27">
        <v>50</v>
      </c>
      <c r="F27">
        <v>0</v>
      </c>
      <c r="G27" t="str">
        <v>Cash</v>
      </c>
      <c r="H27" t="str">
        <v>Fri Mar 06 2026</v>
      </c>
      <c r="I27" t="str">
        <v>Sat Mar 14 2026</v>
      </c>
    </row>
    <row r="28">
      <c r="A28">
        <v>2642</v>
      </c>
      <c r="B28" t="str">
        <v>Iti Jain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Fri Mar 06 2026</v>
      </c>
      <c r="I28" t="str">
        <v>Sat Mar 14 2026</v>
      </c>
    </row>
    <row r="29">
      <c r="A29">
        <v>2638</v>
      </c>
      <c r="B29" t="str">
        <v xml:space="preserve">Kamalchand </v>
      </c>
      <c r="C29" t="str">
        <v>Male</v>
      </c>
      <c r="D29">
        <v>50</v>
      </c>
      <c r="E29">
        <v>50</v>
      </c>
      <c r="F29">
        <v>0</v>
      </c>
      <c r="G29" t="str">
        <v>Cash</v>
      </c>
      <c r="H29" t="str">
        <v>Fri Mar 06 2026</v>
      </c>
      <c r="I29" t="str">
        <v>Sat Mar 14 2026</v>
      </c>
    </row>
    <row r="30">
      <c r="A30">
        <v>2612</v>
      </c>
      <c r="B30" t="str">
        <v xml:space="preserve">Minakshi Yadav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Mon Mar 02 2026</v>
      </c>
      <c r="I30" t="str">
        <v>Sat Mar 14 2026</v>
      </c>
    </row>
    <row r="31">
      <c r="A31">
        <v>2695</v>
      </c>
      <c r="B31" t="str">
        <v xml:space="preserve">Kaladevi Sharma </v>
      </c>
      <c r="C31" t="str">
        <v>Female</v>
      </c>
      <c r="D31">
        <v>50</v>
      </c>
      <c r="E31">
        <v>50</v>
      </c>
      <c r="F31">
        <v>0</v>
      </c>
      <c r="G31" t="str">
        <v>Cash</v>
      </c>
      <c r="H31" t="str">
        <v>Fri Mar 13 2026</v>
      </c>
      <c r="I31" t="str">
        <v>Sat Mar 14 2026</v>
      </c>
    </row>
    <row r="32">
      <c r="A32">
        <v>2584</v>
      </c>
      <c r="B32" t="str">
        <v xml:space="preserve">Lokesh Raghuvanshi </v>
      </c>
      <c r="C32" t="str">
        <v>Male</v>
      </c>
      <c r="D32">
        <v>70</v>
      </c>
      <c r="E32">
        <v>70</v>
      </c>
      <c r="F32">
        <v>0</v>
      </c>
      <c r="G32" t="str">
        <v>UPI</v>
      </c>
      <c r="H32" t="str">
        <v>Thu Feb 26 2026</v>
      </c>
      <c r="I32" t="str">
        <v>Sat Mar 14 2026</v>
      </c>
    </row>
    <row r="33">
      <c r="A33">
        <v>2704</v>
      </c>
      <c r="B33" t="str">
        <v>Ganesh neelkanth</v>
      </c>
      <c r="C33" t="str">
        <v>Male</v>
      </c>
      <c r="D33">
        <v>110</v>
      </c>
      <c r="E33">
        <v>110</v>
      </c>
      <c r="F33">
        <v>0</v>
      </c>
      <c r="G33" t="str">
        <v>Cash</v>
      </c>
      <c r="H33" t="str">
        <v>Sat Mar 14 2026</v>
      </c>
      <c r="I33" t="str">
        <v>Sat Mar 14 2026</v>
      </c>
    </row>
    <row r="34">
      <c r="A34">
        <v>2672</v>
      </c>
      <c r="B34" t="str">
        <v xml:space="preserve">Pravin Vaishnav </v>
      </c>
      <c r="C34" t="str">
        <v>Male</v>
      </c>
      <c r="D34">
        <v>50</v>
      </c>
      <c r="E34">
        <v>50</v>
      </c>
      <c r="F34">
        <v>0</v>
      </c>
      <c r="G34" t="str">
        <v>UPI</v>
      </c>
      <c r="H34" t="str">
        <v>Mon Mar 09 2026</v>
      </c>
      <c r="I34" t="str">
        <v>Sat Mar 14 2026</v>
      </c>
    </row>
    <row r="35">
      <c r="A35">
        <v>2544</v>
      </c>
      <c r="B35" t="str">
        <v>Nitin singh</v>
      </c>
      <c r="C35" t="str">
        <v>Male</v>
      </c>
      <c r="D35">
        <v>50</v>
      </c>
      <c r="E35">
        <v>50</v>
      </c>
      <c r="F35">
        <v>0</v>
      </c>
      <c r="G35" t="str">
        <v>UPI</v>
      </c>
      <c r="H35" t="str">
        <v>Mon Feb 23 2026</v>
      </c>
      <c r="I35" t="str">
        <v>Sat Mar 14 2026</v>
      </c>
    </row>
    <row r="36">
      <c r="A36">
        <v>2581</v>
      </c>
      <c r="B36" t="str">
        <v xml:space="preserve">Radheshyam Bhavsar </v>
      </c>
      <c r="C36" t="str">
        <v>Male</v>
      </c>
      <c r="D36">
        <v>50</v>
      </c>
      <c r="E36">
        <v>50</v>
      </c>
      <c r="F36">
        <v>0</v>
      </c>
      <c r="G36" t="str">
        <v>UPI</v>
      </c>
      <c r="H36" t="str">
        <v>Wed Feb 25 2026</v>
      </c>
      <c r="I36" t="str">
        <v>Sat Mar 14 2026</v>
      </c>
    </row>
    <row r="37">
      <c r="A37">
        <v>2705</v>
      </c>
      <c r="B37" t="str">
        <v>Phoolbai thariya</v>
      </c>
      <c r="C37" t="str">
        <v>Female</v>
      </c>
      <c r="D37">
        <v>110</v>
      </c>
      <c r="E37">
        <v>110</v>
      </c>
      <c r="F37">
        <v>0</v>
      </c>
      <c r="G37" t="str">
        <v>Cash</v>
      </c>
      <c r="H37" t="str">
        <v>Sat Mar 14 2026</v>
      </c>
      <c r="I37" t="str">
        <v>Sat Mar 14 2026</v>
      </c>
    </row>
    <row r="38">
      <c r="A38">
        <v>2098</v>
      </c>
      <c r="B38" t="str">
        <v>Sudha Panday</v>
      </c>
      <c r="C38" t="str">
        <v>Female</v>
      </c>
      <c r="D38">
        <v>50</v>
      </c>
      <c r="E38">
        <v>50</v>
      </c>
      <c r="F38">
        <v>0</v>
      </c>
      <c r="G38" t="str">
        <v>Cash</v>
      </c>
      <c r="H38" t="str">
        <v>Tue Dec 23 2025</v>
      </c>
      <c r="I38" t="str">
        <v>Sat Mar 14 2026</v>
      </c>
    </row>
    <row r="39">
      <c r="A39">
        <v>2676</v>
      </c>
      <c r="B39" t="str">
        <v xml:space="preserve">Savita Soni </v>
      </c>
      <c r="C39" t="str">
        <v>Female</v>
      </c>
      <c r="D39">
        <v>50</v>
      </c>
      <c r="E39">
        <v>50</v>
      </c>
      <c r="F39">
        <v>0</v>
      </c>
      <c r="G39" t="str">
        <v>Cash</v>
      </c>
      <c r="H39" t="str">
        <v>Tue Mar 10 2026</v>
      </c>
      <c r="I39" t="str">
        <v>Sat Mar 14 2026</v>
      </c>
    </row>
    <row r="40">
      <c r="A40">
        <v>2652</v>
      </c>
      <c r="B40" t="str">
        <v xml:space="preserve">Ganesh Patel 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Sat Mar 07 2026</v>
      </c>
      <c r="I40" t="str">
        <v>Sat Mar 14 2026</v>
      </c>
    </row>
    <row r="41">
      <c r="A41">
        <v>2619</v>
      </c>
      <c r="B41" t="str">
        <v>Kailash Mathur</v>
      </c>
      <c r="C41" t="str">
        <v>Male</v>
      </c>
      <c r="D41">
        <v>50</v>
      </c>
      <c r="E41">
        <v>50</v>
      </c>
      <c r="F41">
        <v>0</v>
      </c>
      <c r="G41" t="str">
        <v>Cash</v>
      </c>
      <c r="H41" t="str">
        <v>Tue Mar 03 2026</v>
      </c>
      <c r="I41" t="str">
        <v>Sat Mar 14 2026</v>
      </c>
    </row>
    <row r="42">
      <c r="A42">
        <v>2702</v>
      </c>
      <c r="B42" t="str">
        <v>Kushma Devi Vimal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Fri Mar 13 2026</v>
      </c>
      <c r="I42" t="str">
        <v>Sat Mar 14 2026</v>
      </c>
    </row>
    <row r="43">
      <c r="A43">
        <v>2452</v>
      </c>
      <c r="B43" t="str">
        <v xml:space="preserve">B. S. Rajput </v>
      </c>
      <c r="C43" t="str">
        <v>Male</v>
      </c>
      <c r="D43">
        <v>50</v>
      </c>
      <c r="E43">
        <v>50</v>
      </c>
      <c r="F43">
        <v>0</v>
      </c>
      <c r="G43" t="str">
        <v>Cash</v>
      </c>
      <c r="H43" t="str">
        <v>Mon Feb 09 2026</v>
      </c>
      <c r="I43" t="str">
        <v>Sat Mar 14 2026</v>
      </c>
    </row>
    <row r="44">
      <c r="A44">
        <v>2706</v>
      </c>
      <c r="B44" t="str">
        <v>Palash</v>
      </c>
      <c r="C44" t="str">
        <v>Male</v>
      </c>
      <c r="D44">
        <v>110</v>
      </c>
      <c r="E44">
        <v>0</v>
      </c>
      <c r="F44">
        <v>110</v>
      </c>
      <c r="G44" t="str">
        <v>Cash</v>
      </c>
      <c r="H44" t="str">
        <v>Sat Mar 14 2026</v>
      </c>
      <c r="I44" t="str">
        <v>Sat Mar 14 2026</v>
      </c>
    </row>
    <row r="45">
      <c r="A45">
        <v>2701</v>
      </c>
      <c r="B45" t="str">
        <v xml:space="preserve">Geeta Goud </v>
      </c>
      <c r="C45" t="str">
        <v>Female</v>
      </c>
      <c r="D45">
        <v>50</v>
      </c>
      <c r="E45">
        <v>30</v>
      </c>
      <c r="F45">
        <v>20</v>
      </c>
      <c r="G45" t="str">
        <v>Cash</v>
      </c>
      <c r="H45" t="str">
        <v>Fri Mar 13 2026</v>
      </c>
      <c r="I45" t="str">
        <v>Sat Mar 14 2026</v>
      </c>
    </row>
    <row r="46">
      <c r="A46">
        <v>2674</v>
      </c>
      <c r="B46" t="str">
        <v xml:space="preserve">Mira Sharma 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Tue Mar 10 2026</v>
      </c>
      <c r="I46" t="str">
        <v>Sat Mar 14 2026</v>
      </c>
    </row>
    <row r="47">
      <c r="A47">
        <v>2689</v>
      </c>
      <c r="B47" t="str">
        <v xml:space="preserve">Mamta Namdev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Thu Mar 12 2026</v>
      </c>
      <c r="I47" t="str">
        <v>Sat Mar 14 2026</v>
      </c>
    </row>
    <row r="48">
      <c r="A48">
        <v>2629</v>
      </c>
      <c r="B48" t="str">
        <v>Surjit Adak</v>
      </c>
      <c r="C48" t="str">
        <v>Male</v>
      </c>
      <c r="D48">
        <v>50</v>
      </c>
      <c r="E48">
        <v>50</v>
      </c>
      <c r="F48">
        <v>0</v>
      </c>
      <c r="G48" t="str">
        <v>Cash</v>
      </c>
      <c r="H48" t="str">
        <v>Thu Mar 05 2026</v>
      </c>
      <c r="I48" t="str">
        <v>Sat Mar 14 2026</v>
      </c>
    </row>
    <row r="49">
      <c r="A49">
        <v>2707</v>
      </c>
      <c r="B49" t="str">
        <v xml:space="preserve">Vidhyawati Upadhyay </v>
      </c>
      <c r="C49" t="str">
        <v>Female</v>
      </c>
      <c r="D49">
        <v>100</v>
      </c>
      <c r="E49">
        <v>100</v>
      </c>
      <c r="F49">
        <v>0</v>
      </c>
      <c r="G49" t="str">
        <v>Cash</v>
      </c>
      <c r="H49" t="str">
        <v>Sat Mar 14 2026</v>
      </c>
      <c r="I49" t="str">
        <v>Sat Mar 14 2026</v>
      </c>
    </row>
    <row r="50">
      <c r="A50">
        <v>2685</v>
      </c>
      <c r="B50" t="str">
        <v xml:space="preserve">Anjali Pawar 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Wed Mar 11 2026</v>
      </c>
      <c r="I50" t="str">
        <v>Sat Mar 14 2026</v>
      </c>
    </row>
    <row r="51">
      <c r="A51">
        <v>2614</v>
      </c>
      <c r="B51" t="str">
        <v xml:space="preserve">Sushma Morya </v>
      </c>
      <c r="C51" t="str">
        <v>Female</v>
      </c>
      <c r="D51">
        <v>50</v>
      </c>
      <c r="E51">
        <v>50</v>
      </c>
      <c r="F51">
        <v>0</v>
      </c>
      <c r="G51" t="str">
        <v>Cash</v>
      </c>
      <c r="H51" t="str">
        <v>Mon Mar 02 2026</v>
      </c>
      <c r="I51" t="str">
        <v>Sat Mar 14 2026</v>
      </c>
    </row>
    <row r="52">
      <c r="A52">
        <v>2666</v>
      </c>
      <c r="B52" t="str">
        <v>Bharti Bhomik</v>
      </c>
      <c r="C52" t="str">
        <v>Female</v>
      </c>
      <c r="D52">
        <v>50</v>
      </c>
      <c r="E52">
        <v>50</v>
      </c>
      <c r="F52">
        <v>0</v>
      </c>
      <c r="G52" t="str">
        <v>Cash</v>
      </c>
      <c r="H52" t="str">
        <v>Mon Mar 09 2026</v>
      </c>
      <c r="I52" t="str">
        <v>Sat Mar 14 2026</v>
      </c>
    </row>
    <row r="53">
      <c r="A53">
        <v>2646</v>
      </c>
      <c r="B53" t="str">
        <v xml:space="preserve">Mira Varma </v>
      </c>
      <c r="C53" t="str">
        <v>Female</v>
      </c>
      <c r="D53">
        <v>50</v>
      </c>
      <c r="E53">
        <v>50</v>
      </c>
      <c r="F53">
        <v>0</v>
      </c>
      <c r="G53" t="str">
        <v>UPI</v>
      </c>
      <c r="H53" t="str">
        <v>Fri Mar 06 2026</v>
      </c>
      <c r="I53" t="str">
        <v>Sat Mar 14 2026</v>
      </c>
    </row>
    <row r="54">
      <c r="A54">
        <v>2708</v>
      </c>
      <c r="B54" t="str">
        <v>Dinesh dave</v>
      </c>
      <c r="C54" t="str">
        <v>Male</v>
      </c>
      <c r="D54">
        <v>110</v>
      </c>
      <c r="E54">
        <v>110</v>
      </c>
      <c r="F54">
        <v>0</v>
      </c>
      <c r="G54" t="str">
        <v>Cash</v>
      </c>
      <c r="H54" t="str">
        <v>Sat Mar 14 2026</v>
      </c>
      <c r="I54" t="str">
        <v>Sat Mar 14 2026</v>
      </c>
    </row>
    <row r="55">
      <c r="A55">
        <v>2382</v>
      </c>
      <c r="B55" t="str">
        <v xml:space="preserve">Vijay Rathore </v>
      </c>
      <c r="C55" t="str">
        <v>Male</v>
      </c>
      <c r="D55">
        <v>50</v>
      </c>
      <c r="E55">
        <v>50</v>
      </c>
      <c r="F55">
        <v>0</v>
      </c>
      <c r="G55" t="str">
        <v>UPI</v>
      </c>
      <c r="H55" t="str">
        <v>Mon Feb 02 2026</v>
      </c>
      <c r="I55" t="str">
        <v>Sat Mar 14 2026</v>
      </c>
    </row>
    <row r="56">
      <c r="A56">
        <v>2709</v>
      </c>
      <c r="B56" t="str">
        <v xml:space="preserve">Saroj Awasthi </v>
      </c>
      <c r="C56" t="str">
        <v>Female</v>
      </c>
      <c r="D56">
        <v>110</v>
      </c>
      <c r="E56">
        <v>110</v>
      </c>
      <c r="F56">
        <v>0</v>
      </c>
      <c r="G56" t="str">
        <v>Cash</v>
      </c>
      <c r="H56" t="str">
        <v>Sat Mar 14 2026</v>
      </c>
      <c r="I56" t="str">
        <v>Sat Mar 14 2026</v>
      </c>
    </row>
    <row r="57">
      <c r="A57">
        <v>2710</v>
      </c>
      <c r="B57" t="str">
        <v xml:space="preserve">Shikha Dixit </v>
      </c>
      <c r="C57" t="str">
        <v>Female</v>
      </c>
      <c r="D57">
        <v>110</v>
      </c>
      <c r="E57">
        <v>110</v>
      </c>
      <c r="F57">
        <v>0</v>
      </c>
      <c r="G57" t="str">
        <v>Cash</v>
      </c>
      <c r="H57" t="str">
        <v>Sat Mar 14 2026</v>
      </c>
      <c r="I57" t="str">
        <v>Sat Mar 14 2026</v>
      </c>
    </row>
    <row r="58">
      <c r="A58">
        <v>2625</v>
      </c>
      <c r="B58" t="str">
        <v>Vijay khetan</v>
      </c>
      <c r="C58" t="str">
        <v>Male</v>
      </c>
      <c r="D58">
        <v>50</v>
      </c>
      <c r="E58">
        <v>50</v>
      </c>
      <c r="F58">
        <v>0</v>
      </c>
      <c r="G58" t="str">
        <v>Cash</v>
      </c>
      <c r="H58" t="str">
        <v>Thu Mar 05 2026</v>
      </c>
      <c r="I58" t="str">
        <v>Sat Mar 14 2026</v>
      </c>
    </row>
    <row r="59">
      <c r="A59">
        <v>2573</v>
      </c>
      <c r="B59" t="str">
        <v xml:space="preserve">Manbir Singh </v>
      </c>
      <c r="C59" t="str">
        <v>Male</v>
      </c>
      <c r="D59">
        <v>50</v>
      </c>
      <c r="E59">
        <v>50</v>
      </c>
      <c r="F59">
        <v>0</v>
      </c>
      <c r="G59" t="str">
        <v>Cash</v>
      </c>
      <c r="H59" t="str">
        <v>Wed Feb 25 2026</v>
      </c>
      <c r="I59" t="str">
        <v>Sat Mar 14 2026</v>
      </c>
    </row>
    <row r="60">
      <c r="A60">
        <v>2305</v>
      </c>
      <c r="B60" t="str">
        <v xml:space="preserve">Mahendra Varma </v>
      </c>
      <c r="C60" t="str">
        <v>Male</v>
      </c>
      <c r="D60">
        <v>70</v>
      </c>
      <c r="E60">
        <v>70</v>
      </c>
      <c r="F60">
        <v>0</v>
      </c>
      <c r="G60" t="str">
        <v>Cash</v>
      </c>
      <c r="H60" t="str">
        <v>Thu Jan 22 2026</v>
      </c>
      <c r="I60" t="str">
        <v>Sat Mar 14 2026</v>
      </c>
    </row>
    <row r="61">
      <c r="A61">
        <v>2633</v>
      </c>
      <c r="B61" t="str">
        <v xml:space="preserve">Resham Baghel </v>
      </c>
      <c r="C61" t="str">
        <v>Female</v>
      </c>
      <c r="D61">
        <v>50</v>
      </c>
      <c r="E61">
        <v>50</v>
      </c>
      <c r="F61">
        <v>0</v>
      </c>
      <c r="G61" t="str">
        <v>Cash</v>
      </c>
      <c r="H61" t="str">
        <v>Thu Mar 05 2026</v>
      </c>
      <c r="I61" t="str">
        <v>Sat Mar 14 2026</v>
      </c>
    </row>
    <row r="62">
      <c r="A62">
        <v>2683</v>
      </c>
      <c r="B62" t="str">
        <v>Bindu Ojha</v>
      </c>
      <c r="C62" t="str">
        <v>Female</v>
      </c>
      <c r="D62">
        <v>50</v>
      </c>
      <c r="E62">
        <v>50</v>
      </c>
      <c r="F62">
        <v>0</v>
      </c>
      <c r="G62" t="str">
        <v>Cash</v>
      </c>
      <c r="H62" t="str">
        <v>Wed Mar 11 2026</v>
      </c>
      <c r="I62" t="str">
        <v>Sat Mar 14 2026</v>
      </c>
    </row>
    <row r="63">
      <c r="A63">
        <v>2670</v>
      </c>
      <c r="B63" t="str">
        <v>Manjulata Aragwal</v>
      </c>
      <c r="C63" t="str">
        <v>Female</v>
      </c>
      <c r="D63">
        <v>50</v>
      </c>
      <c r="E63">
        <v>50</v>
      </c>
      <c r="F63">
        <v>0</v>
      </c>
      <c r="G63" t="str">
        <v>Cash</v>
      </c>
      <c r="H63" t="str">
        <v>Mon Mar 09 2026</v>
      </c>
      <c r="I63" t="str">
        <v>Sat Mar 14 2026</v>
      </c>
    </row>
    <row r="64">
      <c r="A64">
        <v>2671</v>
      </c>
      <c r="B64" t="str">
        <v xml:space="preserve">Omprakash Agrawal </v>
      </c>
      <c r="C64" t="str">
        <v>Male</v>
      </c>
      <c r="D64">
        <v>50</v>
      </c>
      <c r="E64">
        <v>50</v>
      </c>
      <c r="F64">
        <v>0</v>
      </c>
      <c r="G64" t="str">
        <v>Cash</v>
      </c>
      <c r="H64" t="str">
        <v>Mon Mar 09 2026</v>
      </c>
      <c r="I64" t="str">
        <v>Sat Mar 14 2026</v>
      </c>
    </row>
    <row r="65">
      <c r="A65">
        <v>2644</v>
      </c>
      <c r="B65" t="str">
        <v>Laxmi Sambhariya</v>
      </c>
      <c r="C65" t="str">
        <v>Female</v>
      </c>
      <c r="D65">
        <v>50</v>
      </c>
      <c r="E65">
        <v>50</v>
      </c>
      <c r="F65">
        <v>0</v>
      </c>
      <c r="G65" t="str">
        <v>Cash</v>
      </c>
      <c r="H65" t="str">
        <v>Fri Mar 06 2026</v>
      </c>
      <c r="I65" t="str">
        <v>Sat Mar 14 2026</v>
      </c>
    </row>
    <row r="66">
      <c r="A66">
        <v>2606</v>
      </c>
      <c r="B66" t="str">
        <v xml:space="preserve">Subhash Porwal </v>
      </c>
      <c r="C66" t="str">
        <v>Male</v>
      </c>
      <c r="D66">
        <v>50</v>
      </c>
      <c r="E66">
        <v>50</v>
      </c>
      <c r="F66">
        <v>0</v>
      </c>
      <c r="G66" t="str">
        <v>Cash</v>
      </c>
      <c r="H66" t="str">
        <v>Sat Feb 28 2026</v>
      </c>
      <c r="I66" t="str">
        <v>Sat Mar 14 2026</v>
      </c>
    </row>
    <row r="67">
      <c r="A67">
        <v>2587</v>
      </c>
      <c r="B67" t="str">
        <v xml:space="preserve">Kamla Prajapat </v>
      </c>
      <c r="C67" t="str">
        <v>Female</v>
      </c>
      <c r="D67">
        <v>50</v>
      </c>
      <c r="E67">
        <v>50</v>
      </c>
      <c r="F67">
        <v>0</v>
      </c>
      <c r="G67" t="str">
        <v>Cash</v>
      </c>
      <c r="H67" t="str">
        <v>Thu Feb 26 2026</v>
      </c>
      <c r="I67" t="str">
        <v>Sat Mar 14 2026</v>
      </c>
    </row>
    <row r="68">
      <c r="A68">
        <v>2711</v>
      </c>
      <c r="B68" t="str">
        <v xml:space="preserve">Krishnakant Sharma </v>
      </c>
      <c r="C68" t="str">
        <v>Male</v>
      </c>
      <c r="D68">
        <v>110</v>
      </c>
      <c r="E68">
        <v>110</v>
      </c>
      <c r="F68">
        <v>0</v>
      </c>
      <c r="G68" t="str">
        <v>UPI</v>
      </c>
      <c r="H68" t="str">
        <v>Sat Mar 14 2026</v>
      </c>
      <c r="I68" t="str">
        <v>Sat Mar 14 2026</v>
      </c>
    </row>
    <row r="69">
      <c r="A69">
        <v>2682</v>
      </c>
      <c r="B69" t="str">
        <v xml:space="preserve">Munni Goyal </v>
      </c>
      <c r="C69" t="str">
        <v>Female</v>
      </c>
      <c r="D69">
        <v>70</v>
      </c>
      <c r="E69">
        <v>70</v>
      </c>
      <c r="F69">
        <v>0</v>
      </c>
      <c r="G69" t="str">
        <v>Cash</v>
      </c>
      <c r="H69" t="str">
        <v>Tue Mar 10 2026</v>
      </c>
      <c r="I69" t="str">
        <v>Sat Mar 14 2026</v>
      </c>
    </row>
    <row r="70">
      <c r="A70">
        <v>2456</v>
      </c>
      <c r="B70" t="str">
        <v xml:space="preserve">D. P. Goyal </v>
      </c>
      <c r="C70" t="str">
        <v>Male</v>
      </c>
      <c r="D70">
        <v>50</v>
      </c>
      <c r="E70">
        <v>50</v>
      </c>
      <c r="F70">
        <v>0</v>
      </c>
      <c r="G70" t="str">
        <v>Cash</v>
      </c>
      <c r="H70" t="str">
        <v>Mon Feb 09 2026</v>
      </c>
      <c r="I70" t="str">
        <v>Sat Mar 14 2026</v>
      </c>
    </row>
    <row r="71">
      <c r="A71">
        <v>2618</v>
      </c>
      <c r="B71" t="str">
        <v xml:space="preserve">Pramod Paliwal </v>
      </c>
      <c r="C71" t="str">
        <v>Male</v>
      </c>
      <c r="D71">
        <v>50</v>
      </c>
      <c r="E71">
        <v>50</v>
      </c>
      <c r="F71">
        <v>0</v>
      </c>
      <c r="G71" t="str">
        <v>Cash</v>
      </c>
      <c r="H71" t="str">
        <v>Mon Mar 02 2026</v>
      </c>
      <c r="I71" t="str">
        <v>Sat Mar 14 2026</v>
      </c>
    </row>
    <row r="72">
      <c r="A72">
        <v>2142</v>
      </c>
      <c r="B72" t="str">
        <v xml:space="preserve">Santosh Kapurpura 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Tue Dec 30 2025</v>
      </c>
      <c r="I72" t="str">
        <v>Sat Mar 14 2026</v>
      </c>
    </row>
    <row r="73">
      <c r="A73">
        <v>2693</v>
      </c>
      <c r="B73" t="str">
        <v xml:space="preserve">Sangita Goyal </v>
      </c>
      <c r="C73" t="str">
        <v>Female</v>
      </c>
      <c r="D73">
        <v>50</v>
      </c>
      <c r="E73">
        <v>50</v>
      </c>
      <c r="F73">
        <v>0</v>
      </c>
      <c r="G73" t="str">
        <v>Cash</v>
      </c>
      <c r="H73" t="str">
        <v>Thu Mar 12 2026</v>
      </c>
      <c r="I73" t="str">
        <v>Sat Mar 14 2026</v>
      </c>
    </row>
    <row r="74">
      <c r="A74">
        <v>2712</v>
      </c>
      <c r="B74" t="str">
        <v xml:space="preserve">Nutan Kashyap </v>
      </c>
      <c r="C74" t="str">
        <v>Female</v>
      </c>
      <c r="D74">
        <v>110</v>
      </c>
      <c r="E74">
        <v>110</v>
      </c>
      <c r="F74">
        <v>0</v>
      </c>
      <c r="G74" t="str">
        <v>Cash</v>
      </c>
      <c r="H74" t="str">
        <v>Sat Mar 14 2026</v>
      </c>
      <c r="I74" t="str">
        <v>Sat Mar 14 2026</v>
      </c>
    </row>
    <row r="75">
      <c r="A75">
        <v>2673</v>
      </c>
      <c r="B75" t="str">
        <v xml:space="preserve">Shekhar Chourasia </v>
      </c>
      <c r="C75" t="str">
        <v>Male</v>
      </c>
      <c r="D75">
        <v>50</v>
      </c>
      <c r="E75">
        <v>50</v>
      </c>
      <c r="F75">
        <v>0</v>
      </c>
      <c r="G75" t="str">
        <v>Cash</v>
      </c>
      <c r="H75" t="str">
        <v>Mon Mar 09 2026</v>
      </c>
      <c r="I75" t="str">
        <v>Sat Mar 14 2026</v>
      </c>
    </row>
    <row r="76">
      <c r="A76">
        <v>1928</v>
      </c>
      <c r="B76" t="str">
        <v xml:space="preserve">Sushma Kapur </v>
      </c>
      <c r="C76" t="str">
        <v>Female</v>
      </c>
      <c r="D76">
        <v>50</v>
      </c>
      <c r="E76">
        <v>0</v>
      </c>
      <c r="F76">
        <v>50</v>
      </c>
      <c r="G76" t="str">
        <v>Cash</v>
      </c>
      <c r="H76" t="str">
        <v>Tue Dec 02 2025</v>
      </c>
      <c r="I76" t="str">
        <v>Sat Mar 14 2026</v>
      </c>
    </row>
    <row r="77">
      <c r="A77">
        <v>2030</v>
      </c>
      <c r="B77" t="str">
        <v xml:space="preserve">Subhash Kapoor </v>
      </c>
      <c r="C77" t="str">
        <v>Male</v>
      </c>
      <c r="D77">
        <v>50</v>
      </c>
      <c r="E77">
        <v>0</v>
      </c>
      <c r="F77">
        <v>50</v>
      </c>
      <c r="G77" t="str">
        <v>Cash</v>
      </c>
      <c r="H77" t="str">
        <v>Mon Dec 15 2025</v>
      </c>
      <c r="I77" t="str">
        <v>Sat Mar 14 2026</v>
      </c>
    </row>
    <row r="78">
      <c r="A78">
        <v>2648</v>
      </c>
      <c r="B78" t="str">
        <v xml:space="preserve">Paramvir Singh </v>
      </c>
      <c r="C78" t="str">
        <v>Male</v>
      </c>
      <c r="D78">
        <v>50</v>
      </c>
      <c r="E78">
        <v>50</v>
      </c>
      <c r="F78">
        <v>0</v>
      </c>
      <c r="G78" t="str">
        <v>Cash</v>
      </c>
      <c r="H78" t="str">
        <v>Fri Mar 06 2026</v>
      </c>
      <c r="I78" t="str">
        <v>Sat Mar 14 2026</v>
      </c>
    </row>
    <row r="79">
      <c r="A79">
        <v>2521</v>
      </c>
      <c r="B79" t="str">
        <v xml:space="preserve">Pravendra Karosiya </v>
      </c>
      <c r="C79" t="str">
        <v>Male</v>
      </c>
      <c r="D79">
        <v>50</v>
      </c>
      <c r="E79">
        <v>50</v>
      </c>
      <c r="F79">
        <v>0</v>
      </c>
      <c r="G79" t="str">
        <v>Cash</v>
      </c>
      <c r="H79" t="str">
        <v>Wed Feb 18 2026</v>
      </c>
      <c r="I79" t="str">
        <v>Sat Mar 14 2026</v>
      </c>
    </row>
    <row r="80">
      <c r="A80">
        <v>2604</v>
      </c>
      <c r="B80" t="str">
        <v xml:space="preserve">Laxmi Bhanopia </v>
      </c>
      <c r="C80" t="str">
        <v>Female</v>
      </c>
      <c r="D80">
        <v>50</v>
      </c>
      <c r="E80">
        <v>50</v>
      </c>
      <c r="F80">
        <v>0</v>
      </c>
      <c r="G80" t="str">
        <v>Cash</v>
      </c>
      <c r="H80" t="str">
        <v>Sat Feb 28 2026</v>
      </c>
      <c r="I80" t="str">
        <v>Sat Mar 14 2026</v>
      </c>
    </row>
    <row r="81">
      <c r="A81">
        <v>2592</v>
      </c>
      <c r="B81" t="str">
        <v xml:space="preserve">Tripti Yadav </v>
      </c>
      <c r="C81" t="str">
        <v>Female</v>
      </c>
      <c r="D81">
        <v>50</v>
      </c>
      <c r="E81">
        <v>50</v>
      </c>
      <c r="F81">
        <v>0</v>
      </c>
      <c r="G81" t="str">
        <v>Cash</v>
      </c>
      <c r="H81" t="str">
        <v>Thu Feb 26 2026</v>
      </c>
      <c r="I81" t="str">
        <v>Sat Mar 14 2026</v>
      </c>
    </row>
    <row r="82">
      <c r="A82">
        <v>2679</v>
      </c>
      <c r="B82" t="str">
        <v xml:space="preserve">Sima Patel </v>
      </c>
      <c r="C82" t="str">
        <v>Female</v>
      </c>
      <c r="D82">
        <v>50</v>
      </c>
      <c r="E82">
        <v>50</v>
      </c>
      <c r="F82">
        <v>0</v>
      </c>
      <c r="G82" t="str">
        <v>Cash</v>
      </c>
      <c r="H82" t="str">
        <v>Tue Mar 10 2026</v>
      </c>
      <c r="I82" t="str">
        <v>Sat Mar 14 2026</v>
      </c>
    </row>
    <row r="83">
      <c r="A83">
        <v>2635</v>
      </c>
      <c r="B83" t="str">
        <v xml:space="preserve">O. P. Joshi </v>
      </c>
      <c r="C83" t="str">
        <v>Male</v>
      </c>
      <c r="D83">
        <v>50</v>
      </c>
      <c r="E83">
        <v>50</v>
      </c>
      <c r="F83">
        <v>0</v>
      </c>
      <c r="G83" t="str">
        <v>Cash</v>
      </c>
      <c r="H83" t="str">
        <v>Thu Mar 05 2026</v>
      </c>
      <c r="I83" t="str">
        <v>Sat Mar 14 2026</v>
      </c>
    </row>
    <row r="84">
      <c r="A84">
        <v>2692</v>
      </c>
      <c r="B84" t="str">
        <v>Neela</v>
      </c>
      <c r="C84" t="str">
        <v>Female</v>
      </c>
      <c r="D84">
        <v>50</v>
      </c>
      <c r="E84">
        <v>0</v>
      </c>
      <c r="F84">
        <v>50</v>
      </c>
      <c r="G84" t="str">
        <v>Cash</v>
      </c>
      <c r="H84" t="str">
        <v>Thu Mar 12 2026</v>
      </c>
      <c r="I84" t="str">
        <v>Sat Mar 14 2026</v>
      </c>
    </row>
  </sheetData>
  <ignoredErrors>
    <ignoredError numberStoredAsText="1" sqref="A1:N8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77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Fri Mar 13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SUM(D10:D77)</f>
      </c>
      <c r="B7" t="e">
        <f t="array" ref="B7">SUM(E10:E77)</f>
      </c>
      <c r="C7" t="e">
        <f t="array" ref="C7">SUMIF(G10:G77, "Cash", E10:E77)</f>
      </c>
      <c r="D7" t="e">
        <f t="array" ref="D7">SUMIF(G10:G77, "UPI", E10:E77)</f>
      </c>
      <c r="E7" t="e">
        <f t="array" ref="E7">COUNTA(G10:G77)</f>
      </c>
      <c r="F7" t="e">
        <f t="array" ref="F7">COUNTIF(G10:G77, "Cash")</f>
      </c>
      <c r="G7" t="e">
        <f t="array" ref="G7">COUNTIF(G10:G77, "UPI")</f>
      </c>
      <c r="H7" t="e">
        <f t="array" ref="H7">SUM(F10:F77)</f>
      </c>
      <c r="I7" t="e">
        <f t="array" ref="I7">COUNT(FILTER(F10:F77, F10:F77=D10:D77))</f>
      </c>
      <c r="J7" t="e">
        <f t="array" ref="J7">IFERROR(ROWS(UNIQUE(FILTER(A10:A77,C10:C77="Male"))),0)</f>
      </c>
      <c r="K7" t="e">
        <f t="array" ref="K7">IFERROR(ROWS(UNIQUE(FILTER(A10:A77,C10:C77="Female"))),0)</f>
      </c>
      <c r="L7" t="e">
        <f t="array" ref="L7">IFERROR(ROWS(UNIQUE(FILTER(A10:A77,H10:H77=I10))),0)</f>
      </c>
      <c r="M7" t="e">
        <f t="array" ref="M7">IFERROR(ROWS(UNIQUE(FILTER(A10:A77,H10:H77&lt;&gt;I10))),0)</f>
      </c>
      <c r="N7" t="e">
        <f t="array" ref="N7">IFERROR(ROWS(UNIQUE(A10:A77)),0)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1917</v>
      </c>
      <c r="B10" t="str">
        <v xml:space="preserve">Ramesh Sharma 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Mon Dec 01 2025</v>
      </c>
      <c r="I10" t="str">
        <v>Fri Mar 13 2026</v>
      </c>
    </row>
    <row r="11">
      <c r="A11">
        <v>2686</v>
      </c>
      <c r="B11" t="str">
        <v xml:space="preserve">Devilal Kasera </v>
      </c>
      <c r="C11" t="str">
        <v>Male</v>
      </c>
      <c r="D11">
        <v>50</v>
      </c>
      <c r="E11">
        <v>50</v>
      </c>
      <c r="F11">
        <v>0</v>
      </c>
      <c r="G11" t="str">
        <v>Cash</v>
      </c>
      <c r="H11" t="str">
        <v>Thu Mar 12 2026</v>
      </c>
      <c r="I11" t="str">
        <v>Fri Mar 13 2026</v>
      </c>
    </row>
    <row r="12">
      <c r="A12">
        <v>2677</v>
      </c>
      <c r="B12" t="str">
        <v>Vibha Godha</v>
      </c>
      <c r="C12" t="str">
        <v>Female</v>
      </c>
      <c r="D12">
        <v>50</v>
      </c>
      <c r="E12">
        <v>50</v>
      </c>
      <c r="F12">
        <v>0</v>
      </c>
      <c r="G12" t="str">
        <v>Cash</v>
      </c>
      <c r="H12" t="str">
        <v>Tue Mar 10 2026</v>
      </c>
      <c r="I12" t="str">
        <v>Fri Mar 13 2026</v>
      </c>
    </row>
    <row r="13">
      <c r="A13">
        <v>2413</v>
      </c>
      <c r="B13" t="str">
        <v xml:space="preserve">Kailash Agrawal </v>
      </c>
      <c r="C13" t="str">
        <v>Male</v>
      </c>
      <c r="D13">
        <v>70</v>
      </c>
      <c r="E13">
        <v>70</v>
      </c>
      <c r="F13">
        <v>0</v>
      </c>
      <c r="G13" t="str">
        <v>Cash</v>
      </c>
      <c r="H13" t="str">
        <v>Thu Feb 05 2026</v>
      </c>
      <c r="I13" t="str">
        <v>Fri Mar 13 2026</v>
      </c>
    </row>
    <row r="14">
      <c r="A14">
        <v>2412</v>
      </c>
      <c r="B14" t="str">
        <v xml:space="preserve">Kamini Agrawal </v>
      </c>
      <c r="C14" t="str">
        <v>Female</v>
      </c>
      <c r="D14">
        <v>50</v>
      </c>
      <c r="E14">
        <v>50</v>
      </c>
      <c r="F14">
        <v>0</v>
      </c>
      <c r="G14" t="str">
        <v>Cash</v>
      </c>
      <c r="H14" t="str">
        <v>Thu Feb 05 2026</v>
      </c>
      <c r="I14" t="str">
        <v>Fri Mar 13 2026</v>
      </c>
    </row>
    <row r="15">
      <c r="A15">
        <v>2687</v>
      </c>
      <c r="B15" t="str">
        <v xml:space="preserve">Hempushpa Chouhan </v>
      </c>
      <c r="C15" t="str">
        <v>Female</v>
      </c>
      <c r="D15">
        <v>50</v>
      </c>
      <c r="E15">
        <v>50</v>
      </c>
      <c r="F15">
        <v>0</v>
      </c>
      <c r="G15" t="str">
        <v>Cash</v>
      </c>
      <c r="H15" t="str">
        <v>Thu Mar 12 2026</v>
      </c>
      <c r="I15" t="str">
        <v>Fri Mar 13 2026</v>
      </c>
    </row>
    <row r="16">
      <c r="A16">
        <v>2661</v>
      </c>
      <c r="B16" t="str">
        <v xml:space="preserve">Manish Pancholi </v>
      </c>
      <c r="C16" t="str">
        <v>Male</v>
      </c>
      <c r="D16">
        <v>50</v>
      </c>
      <c r="E16">
        <v>50</v>
      </c>
      <c r="F16">
        <v>0</v>
      </c>
      <c r="G16" t="str">
        <v>UPI</v>
      </c>
      <c r="H16" t="str">
        <v>Mon Mar 09 2026</v>
      </c>
      <c r="I16" t="str">
        <v>Fri Mar 13 2026</v>
      </c>
    </row>
    <row r="17">
      <c r="A17">
        <v>2662</v>
      </c>
      <c r="B17" t="str">
        <v xml:space="preserve">Gajendra Khare 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Mon Mar 09 2026</v>
      </c>
      <c r="I17" t="str">
        <v>Fri Mar 13 2026</v>
      </c>
    </row>
    <row r="18">
      <c r="A18">
        <v>2529</v>
      </c>
      <c r="B18" t="str">
        <v xml:space="preserve">Rajani Joshi </v>
      </c>
      <c r="C18" t="str">
        <v>Female</v>
      </c>
      <c r="D18">
        <v>70</v>
      </c>
      <c r="E18">
        <v>70</v>
      </c>
      <c r="F18">
        <v>0</v>
      </c>
      <c r="G18" t="str">
        <v>UPI</v>
      </c>
      <c r="H18" t="str">
        <v>Fri Feb 20 2026</v>
      </c>
      <c r="I18" t="str">
        <v>Fri Mar 13 2026</v>
      </c>
    </row>
    <row r="19">
      <c r="A19">
        <v>2623</v>
      </c>
      <c r="B19" t="str">
        <v xml:space="preserve">Priti Kashyap </v>
      </c>
      <c r="C19" t="str">
        <v>Female</v>
      </c>
      <c r="D19">
        <v>50</v>
      </c>
      <c r="E19">
        <v>50</v>
      </c>
      <c r="F19">
        <v>0</v>
      </c>
      <c r="G19" t="str">
        <v>Cash</v>
      </c>
      <c r="H19" t="str">
        <v>Thu Mar 05 2026</v>
      </c>
      <c r="I19" t="str">
        <v>Fri Mar 13 2026</v>
      </c>
    </row>
    <row r="20">
      <c r="A20">
        <v>2471</v>
      </c>
      <c r="B20" t="str">
        <v>Ashwini Gundigawkar</v>
      </c>
      <c r="C20" t="str">
        <v>Female</v>
      </c>
      <c r="D20">
        <v>50</v>
      </c>
      <c r="E20">
        <v>50</v>
      </c>
      <c r="F20">
        <v>0</v>
      </c>
      <c r="G20" t="str">
        <v>Cash</v>
      </c>
      <c r="H20" t="str">
        <v>Wed Feb 11 2026</v>
      </c>
      <c r="I20" t="str">
        <v>Fri Mar 13 2026</v>
      </c>
    </row>
    <row r="21">
      <c r="A21">
        <v>2638</v>
      </c>
      <c r="B21" t="str">
        <v xml:space="preserve">Kamalchand </v>
      </c>
      <c r="C21" t="str">
        <v>Male</v>
      </c>
      <c r="D21">
        <v>50</v>
      </c>
      <c r="E21">
        <v>50</v>
      </c>
      <c r="F21">
        <v>0</v>
      </c>
      <c r="G21" t="str">
        <v>Cash</v>
      </c>
      <c r="H21" t="str">
        <v>Fri Mar 06 2026</v>
      </c>
      <c r="I21" t="str">
        <v>Fri Mar 13 2026</v>
      </c>
    </row>
    <row r="22">
      <c r="A22">
        <v>1437</v>
      </c>
      <c r="B22" t="str">
        <v>Suraj Dharve</v>
      </c>
      <c r="C22" t="str">
        <v>Female</v>
      </c>
      <c r="D22">
        <v>50</v>
      </c>
      <c r="E22">
        <v>0</v>
      </c>
      <c r="F22">
        <v>50</v>
      </c>
      <c r="G22" t="str">
        <v>Cash</v>
      </c>
      <c r="H22" t="str">
        <v>Fri Sep 19 2025</v>
      </c>
      <c r="I22" t="str">
        <v>Fri Mar 13 2026</v>
      </c>
    </row>
    <row r="23">
      <c r="A23">
        <v>2098</v>
      </c>
      <c r="B23" t="str">
        <v>Sudha Panday</v>
      </c>
      <c r="C23" t="str">
        <v>Female</v>
      </c>
      <c r="D23">
        <v>50</v>
      </c>
      <c r="E23">
        <v>50</v>
      </c>
      <c r="F23">
        <v>0</v>
      </c>
      <c r="G23" t="str">
        <v>Cash</v>
      </c>
      <c r="H23" t="str">
        <v>Tue Dec 23 2025</v>
      </c>
      <c r="I23" t="str">
        <v>Fri Mar 13 2026</v>
      </c>
    </row>
    <row r="24">
      <c r="A24">
        <v>2628</v>
      </c>
      <c r="B24" t="str">
        <v xml:space="preserve">Arun Mittal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Thu Mar 05 2026</v>
      </c>
      <c r="I24" t="str">
        <v>Fri Mar 13 2026</v>
      </c>
    </row>
    <row r="25">
      <c r="A25">
        <v>2451</v>
      </c>
      <c r="B25" t="str">
        <v xml:space="preserve">Prakash Joshi </v>
      </c>
      <c r="C25" t="str">
        <v>Male</v>
      </c>
      <c r="D25">
        <v>70</v>
      </c>
      <c r="E25">
        <v>70</v>
      </c>
      <c r="F25">
        <v>0</v>
      </c>
      <c r="G25" t="str">
        <v>Cash</v>
      </c>
      <c r="H25" t="str">
        <v>Mon Feb 09 2026</v>
      </c>
      <c r="I25" t="str">
        <v>Fri Mar 13 2026</v>
      </c>
    </row>
    <row r="26">
      <c r="A26">
        <v>2652</v>
      </c>
      <c r="B26" t="str">
        <v xml:space="preserve">Ganesh Patel </v>
      </c>
      <c r="C26" t="str">
        <v>Male</v>
      </c>
      <c r="D26">
        <v>50</v>
      </c>
      <c r="E26">
        <v>50</v>
      </c>
      <c r="F26">
        <v>0</v>
      </c>
      <c r="G26" t="str">
        <v>Cash</v>
      </c>
      <c r="H26" t="str">
        <v>Sat Mar 07 2026</v>
      </c>
      <c r="I26" t="str">
        <v>Fri Mar 13 2026</v>
      </c>
    </row>
    <row r="27">
      <c r="A27">
        <v>2695</v>
      </c>
      <c r="B27" t="str">
        <v xml:space="preserve">Kaladevi Sharma </v>
      </c>
      <c r="C27" t="str">
        <v>Female</v>
      </c>
      <c r="D27">
        <v>110</v>
      </c>
      <c r="E27">
        <v>110</v>
      </c>
      <c r="F27">
        <v>0</v>
      </c>
      <c r="G27" t="str">
        <v>Cash</v>
      </c>
      <c r="H27" t="str">
        <v>Fri Mar 13 2026</v>
      </c>
      <c r="I27" t="str">
        <v>Fri Mar 13 2026</v>
      </c>
    </row>
    <row r="28">
      <c r="A28">
        <v>2568</v>
      </c>
      <c r="B28" t="str">
        <v>Shakti Sen</v>
      </c>
      <c r="C28" t="str">
        <v>Male</v>
      </c>
      <c r="D28">
        <v>50</v>
      </c>
      <c r="E28">
        <v>50</v>
      </c>
      <c r="F28">
        <v>0</v>
      </c>
      <c r="G28" t="str">
        <v>UPI</v>
      </c>
      <c r="H28" t="str">
        <v>Tue Feb 24 2026</v>
      </c>
      <c r="I28" t="str">
        <v>Fri Mar 13 2026</v>
      </c>
    </row>
    <row r="29">
      <c r="A29">
        <v>2696</v>
      </c>
      <c r="B29" t="str">
        <v>Giriraj Shrimal</v>
      </c>
      <c r="C29" t="str">
        <v>Male</v>
      </c>
      <c r="D29">
        <v>110</v>
      </c>
      <c r="E29">
        <v>110</v>
      </c>
      <c r="F29">
        <v>0</v>
      </c>
      <c r="G29" t="str">
        <v>UPI</v>
      </c>
      <c r="H29" t="str">
        <v>Fri Mar 13 2026</v>
      </c>
      <c r="I29" t="str">
        <v>Fri Mar 13 2026</v>
      </c>
    </row>
    <row r="30">
      <c r="A30">
        <v>2584</v>
      </c>
      <c r="B30" t="str">
        <v xml:space="preserve">Lokesh Raghuvanshi </v>
      </c>
      <c r="C30" t="str">
        <v>Male</v>
      </c>
      <c r="D30">
        <v>70</v>
      </c>
      <c r="E30">
        <v>70</v>
      </c>
      <c r="F30">
        <v>0</v>
      </c>
      <c r="G30" t="str">
        <v>UPI</v>
      </c>
      <c r="H30" t="str">
        <v>Thu Feb 26 2026</v>
      </c>
      <c r="I30" t="str">
        <v>Fri Mar 13 2026</v>
      </c>
    </row>
    <row r="31">
      <c r="A31">
        <v>2697</v>
      </c>
      <c r="B31" t="str">
        <v xml:space="preserve">Sheetal Kushwaha </v>
      </c>
      <c r="C31" t="str">
        <v>Female</v>
      </c>
      <c r="D31">
        <v>110</v>
      </c>
      <c r="E31">
        <v>110</v>
      </c>
      <c r="F31">
        <v>0</v>
      </c>
      <c r="G31" t="str">
        <v>UPI</v>
      </c>
      <c r="H31" t="str">
        <v>Fri Mar 13 2026</v>
      </c>
      <c r="I31" t="str">
        <v>Fri Mar 13 2026</v>
      </c>
    </row>
    <row r="32">
      <c r="A32">
        <v>2698</v>
      </c>
      <c r="B32" t="str">
        <v xml:space="preserve">Aditya Rajput </v>
      </c>
      <c r="C32" t="str">
        <v>Male</v>
      </c>
      <c r="D32">
        <v>110</v>
      </c>
      <c r="E32">
        <v>110</v>
      </c>
      <c r="F32">
        <v>0</v>
      </c>
      <c r="G32" t="str">
        <v>UPI</v>
      </c>
      <c r="H32" t="str">
        <v>Fri Mar 13 2026</v>
      </c>
      <c r="I32" t="str">
        <v>Fri Mar 13 2026</v>
      </c>
    </row>
    <row r="33">
      <c r="A33">
        <v>2656</v>
      </c>
      <c r="B33" t="str">
        <v xml:space="preserve">Ashish Varma </v>
      </c>
      <c r="C33" t="str">
        <v>Male</v>
      </c>
      <c r="D33">
        <v>50</v>
      </c>
      <c r="E33">
        <v>50</v>
      </c>
      <c r="F33">
        <v>0</v>
      </c>
      <c r="G33" t="str">
        <v>Cash</v>
      </c>
      <c r="H33" t="str">
        <v>Sat Mar 07 2026</v>
      </c>
      <c r="I33" t="str">
        <v>Fri Mar 13 2026</v>
      </c>
    </row>
    <row r="34">
      <c r="A34">
        <v>2569</v>
      </c>
      <c r="B34" t="str">
        <v>Suresh Malvi</v>
      </c>
      <c r="C34" t="str">
        <v>Male</v>
      </c>
      <c r="D34">
        <v>50</v>
      </c>
      <c r="E34">
        <v>50</v>
      </c>
      <c r="F34">
        <v>0</v>
      </c>
      <c r="G34" t="str">
        <v>Cash</v>
      </c>
      <c r="H34" t="str">
        <v>Tue Feb 24 2026</v>
      </c>
      <c r="I34" t="str">
        <v>Fri Mar 13 2026</v>
      </c>
    </row>
    <row r="35">
      <c r="A35">
        <v>2699</v>
      </c>
      <c r="B35" t="str">
        <v>Tanishk Shrotriya</v>
      </c>
      <c r="C35" t="str">
        <v>Male</v>
      </c>
      <c r="D35">
        <v>110</v>
      </c>
      <c r="E35">
        <v>110</v>
      </c>
      <c r="F35">
        <v>0</v>
      </c>
      <c r="G35" t="str">
        <v>UPI</v>
      </c>
      <c r="H35" t="str">
        <v>Fri Mar 13 2026</v>
      </c>
      <c r="I35" t="str">
        <v>Fri Mar 13 2026</v>
      </c>
    </row>
    <row r="36">
      <c r="A36">
        <v>2700</v>
      </c>
      <c r="B36" t="str">
        <v xml:space="preserve">Kaladevi Lodhi </v>
      </c>
      <c r="C36" t="str">
        <v>Female</v>
      </c>
      <c r="D36">
        <v>110</v>
      </c>
      <c r="E36">
        <v>110</v>
      </c>
      <c r="F36">
        <v>0</v>
      </c>
      <c r="G36" t="str">
        <v>Cash</v>
      </c>
      <c r="H36" t="str">
        <v>Fri Mar 13 2026</v>
      </c>
      <c r="I36" t="str">
        <v>Fri Mar 13 2026</v>
      </c>
    </row>
    <row r="37">
      <c r="A37">
        <v>2452</v>
      </c>
      <c r="B37" t="str">
        <v xml:space="preserve">B. S. Rajput </v>
      </c>
      <c r="C37" t="str">
        <v>Male</v>
      </c>
      <c r="D37">
        <v>50</v>
      </c>
      <c r="E37">
        <v>50</v>
      </c>
      <c r="F37">
        <v>0</v>
      </c>
      <c r="G37" t="str">
        <v>Cash</v>
      </c>
      <c r="H37" t="str">
        <v>Mon Feb 09 2026</v>
      </c>
      <c r="I37" t="str">
        <v>Fri Mar 13 2026</v>
      </c>
    </row>
    <row r="38">
      <c r="A38">
        <v>2701</v>
      </c>
      <c r="B38" t="str">
        <v xml:space="preserve">Geeta Goud </v>
      </c>
      <c r="C38" t="str">
        <v>Female</v>
      </c>
      <c r="D38">
        <v>110</v>
      </c>
      <c r="E38">
        <v>90</v>
      </c>
      <c r="F38">
        <v>20</v>
      </c>
      <c r="G38" t="str">
        <v>Cash</v>
      </c>
      <c r="H38" t="str">
        <v>Fri Mar 13 2026</v>
      </c>
      <c r="I38" t="str">
        <v>Fri Mar 13 2026</v>
      </c>
    </row>
    <row r="39">
      <c r="A39">
        <v>2524</v>
      </c>
      <c r="B39" t="str">
        <v xml:space="preserve">Govind Gupta </v>
      </c>
      <c r="C39" t="str">
        <v>Male</v>
      </c>
      <c r="D39">
        <v>50</v>
      </c>
      <c r="E39">
        <v>50</v>
      </c>
      <c r="F39">
        <v>0</v>
      </c>
      <c r="G39" t="str">
        <v>Cash</v>
      </c>
      <c r="H39" t="str">
        <v>Wed Feb 18 2026</v>
      </c>
      <c r="I39" t="str">
        <v>Fri Mar 13 2026</v>
      </c>
    </row>
    <row r="40">
      <c r="A40">
        <v>2689</v>
      </c>
      <c r="B40" t="str">
        <v xml:space="preserve">Mamta Namdev </v>
      </c>
      <c r="C40" t="str">
        <v>Female</v>
      </c>
      <c r="D40">
        <v>50</v>
      </c>
      <c r="E40">
        <v>50</v>
      </c>
      <c r="F40">
        <v>0</v>
      </c>
      <c r="G40" t="str">
        <v>Cash</v>
      </c>
      <c r="H40" t="str">
        <v>Thu Mar 12 2026</v>
      </c>
      <c r="I40" t="str">
        <v>Fri Mar 13 2026</v>
      </c>
    </row>
    <row r="41">
      <c r="A41">
        <v>2672</v>
      </c>
      <c r="B41" t="str">
        <v xml:space="preserve">Pravin Vaishnav </v>
      </c>
      <c r="C41" t="str">
        <v>Male</v>
      </c>
      <c r="D41">
        <v>50</v>
      </c>
      <c r="E41">
        <v>50</v>
      </c>
      <c r="F41">
        <v>0</v>
      </c>
      <c r="G41" t="str">
        <v>UPI</v>
      </c>
      <c r="H41" t="str">
        <v>Mon Mar 09 2026</v>
      </c>
      <c r="I41" t="str">
        <v>Fri Mar 13 2026</v>
      </c>
    </row>
    <row r="42">
      <c r="A42">
        <v>2683</v>
      </c>
      <c r="B42" t="str">
        <v>Bindu Ojha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Wed Mar 11 2026</v>
      </c>
      <c r="I42" t="str">
        <v>Fri Mar 13 2026</v>
      </c>
    </row>
    <row r="43">
      <c r="A43">
        <v>2633</v>
      </c>
      <c r="B43" t="str">
        <v xml:space="preserve">Resham Baghel </v>
      </c>
      <c r="C43" t="str">
        <v>Female</v>
      </c>
      <c r="D43">
        <v>50</v>
      </c>
      <c r="E43">
        <v>50</v>
      </c>
      <c r="F43">
        <v>0</v>
      </c>
      <c r="G43" t="str">
        <v>Cash</v>
      </c>
      <c r="H43" t="str">
        <v>Thu Mar 05 2026</v>
      </c>
      <c r="I43" t="str">
        <v>Fri Mar 13 2026</v>
      </c>
    </row>
    <row r="44">
      <c r="A44">
        <v>2668</v>
      </c>
      <c r="B44" t="str">
        <v xml:space="preserve">Rishab Tiwari </v>
      </c>
      <c r="C44" t="str">
        <v>Male</v>
      </c>
      <c r="D44">
        <v>50</v>
      </c>
      <c r="E44">
        <v>50</v>
      </c>
      <c r="F44">
        <v>0</v>
      </c>
      <c r="G44" t="str">
        <v>Cash</v>
      </c>
      <c r="H44" t="str">
        <v>Mon Mar 09 2026</v>
      </c>
      <c r="I44" t="str">
        <v>Fri Mar 13 2026</v>
      </c>
    </row>
    <row r="45">
      <c r="A45">
        <v>2692</v>
      </c>
      <c r="B45" t="str">
        <v>Neela</v>
      </c>
      <c r="C45" t="str">
        <v>Female</v>
      </c>
      <c r="D45">
        <v>50</v>
      </c>
      <c r="E45">
        <v>0</v>
      </c>
      <c r="F45">
        <v>50</v>
      </c>
      <c r="G45" t="str">
        <v>Cash</v>
      </c>
      <c r="H45" t="str">
        <v>Thu Mar 12 2026</v>
      </c>
      <c r="I45" t="str">
        <v>Fri Mar 13 2026</v>
      </c>
    </row>
    <row r="46">
      <c r="A46">
        <v>2702</v>
      </c>
      <c r="B46" t="str">
        <v>Kushma Devi Vimal</v>
      </c>
      <c r="C46" t="str">
        <v>Female</v>
      </c>
      <c r="D46">
        <v>110</v>
      </c>
      <c r="E46">
        <v>110</v>
      </c>
      <c r="F46">
        <v>0</v>
      </c>
      <c r="G46" t="str">
        <v>Cash</v>
      </c>
      <c r="H46" t="str">
        <v>Fri Mar 13 2026</v>
      </c>
      <c r="I46" t="str">
        <v>Fri Mar 13 2026</v>
      </c>
    </row>
    <row r="47">
      <c r="A47">
        <v>2629</v>
      </c>
      <c r="B47" t="str">
        <v>Surjit Adak</v>
      </c>
      <c r="C47" t="str">
        <v>Male</v>
      </c>
      <c r="D47">
        <v>50</v>
      </c>
      <c r="E47">
        <v>50</v>
      </c>
      <c r="F47">
        <v>0</v>
      </c>
      <c r="G47" t="str">
        <v>Cash</v>
      </c>
      <c r="H47" t="str">
        <v>Thu Mar 05 2026</v>
      </c>
      <c r="I47" t="str">
        <v>Fri Mar 13 2026</v>
      </c>
    </row>
    <row r="48">
      <c r="A48">
        <v>2642</v>
      </c>
      <c r="B48" t="str">
        <v>Iti Jain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Fri Mar 06 2026</v>
      </c>
      <c r="I48" t="str">
        <v>Fri Mar 13 2026</v>
      </c>
    </row>
    <row r="49">
      <c r="A49">
        <v>2674</v>
      </c>
      <c r="B49" t="str">
        <v xml:space="preserve">Mira Sharma </v>
      </c>
      <c r="C49" t="str">
        <v>Female</v>
      </c>
      <c r="D49">
        <v>50</v>
      </c>
      <c r="E49">
        <v>50</v>
      </c>
      <c r="F49">
        <v>0</v>
      </c>
      <c r="G49" t="str">
        <v>Cash</v>
      </c>
      <c r="H49" t="str">
        <v>Tue Mar 10 2026</v>
      </c>
      <c r="I49" t="str">
        <v>Fri Mar 13 2026</v>
      </c>
    </row>
    <row r="50">
      <c r="A50">
        <v>2498</v>
      </c>
      <c r="B50" t="str">
        <v>Shanti Saad</v>
      </c>
      <c r="C50" t="str">
        <v>Female</v>
      </c>
      <c r="D50">
        <v>50</v>
      </c>
      <c r="E50">
        <v>50</v>
      </c>
      <c r="F50">
        <v>0</v>
      </c>
      <c r="G50" t="str">
        <v>UPI</v>
      </c>
      <c r="H50" t="str">
        <v>Sat Feb 14 2026</v>
      </c>
      <c r="I50" t="str">
        <v>Fri Mar 13 2026</v>
      </c>
    </row>
    <row r="51">
      <c r="A51">
        <v>2588</v>
      </c>
      <c r="B51" t="str">
        <v>Krishna varma</v>
      </c>
      <c r="C51" t="str">
        <v>Female</v>
      </c>
      <c r="D51">
        <v>50</v>
      </c>
      <c r="E51">
        <v>50</v>
      </c>
      <c r="F51">
        <v>0</v>
      </c>
      <c r="G51" t="str">
        <v>Cash</v>
      </c>
      <c r="H51" t="str">
        <v>Thu Feb 26 2026</v>
      </c>
      <c r="I51" t="str">
        <v>Fri Mar 13 2026</v>
      </c>
    </row>
    <row r="52">
      <c r="A52">
        <v>2581</v>
      </c>
      <c r="B52" t="str">
        <v xml:space="preserve">Radheshyam Bhavsar </v>
      </c>
      <c r="C52" t="str">
        <v>Male</v>
      </c>
      <c r="D52">
        <v>50</v>
      </c>
      <c r="E52">
        <v>50</v>
      </c>
      <c r="F52">
        <v>0</v>
      </c>
      <c r="G52" t="str">
        <v>UPI</v>
      </c>
      <c r="H52" t="str">
        <v>Wed Feb 25 2026</v>
      </c>
      <c r="I52" t="str">
        <v>Fri Mar 13 2026</v>
      </c>
    </row>
    <row r="53">
      <c r="A53">
        <v>2646</v>
      </c>
      <c r="B53" t="str">
        <v xml:space="preserve">Mira Varma </v>
      </c>
      <c r="C53" t="str">
        <v>Female</v>
      </c>
      <c r="D53">
        <v>50</v>
      </c>
      <c r="E53">
        <v>50</v>
      </c>
      <c r="F53">
        <v>0</v>
      </c>
      <c r="G53" t="str">
        <v>Cash</v>
      </c>
      <c r="H53" t="str">
        <v>Fri Mar 06 2026</v>
      </c>
      <c r="I53" t="str">
        <v>Fri Mar 13 2026</v>
      </c>
    </row>
    <row r="54">
      <c r="A54">
        <v>2669</v>
      </c>
      <c r="B54" t="str">
        <v>Jay Prakash Diya</v>
      </c>
      <c r="C54" t="str">
        <v>Male</v>
      </c>
      <c r="D54">
        <v>50</v>
      </c>
      <c r="E54">
        <v>50</v>
      </c>
      <c r="F54">
        <v>0</v>
      </c>
      <c r="G54" t="str">
        <v>UPI</v>
      </c>
      <c r="H54" t="str">
        <v>Mon Mar 09 2026</v>
      </c>
      <c r="I54" t="str">
        <v>Fri Mar 13 2026</v>
      </c>
    </row>
    <row r="55">
      <c r="A55">
        <v>2655</v>
      </c>
      <c r="B55" t="str">
        <v xml:space="preserve">Abhishek Dubey </v>
      </c>
      <c r="C55" t="str">
        <v>Male</v>
      </c>
      <c r="D55">
        <v>50</v>
      </c>
      <c r="E55">
        <v>50</v>
      </c>
      <c r="F55">
        <v>0</v>
      </c>
      <c r="G55" t="str">
        <v>Cash</v>
      </c>
      <c r="H55" t="str">
        <v>Sat Mar 07 2026</v>
      </c>
      <c r="I55" t="str">
        <v>Fri Mar 13 2026</v>
      </c>
    </row>
    <row r="56">
      <c r="A56">
        <v>2544</v>
      </c>
      <c r="B56" t="str">
        <v>Nitin singh</v>
      </c>
      <c r="C56" t="str">
        <v>Male</v>
      </c>
      <c r="D56">
        <v>50</v>
      </c>
      <c r="E56">
        <v>50</v>
      </c>
      <c r="F56">
        <v>0</v>
      </c>
      <c r="G56" t="str">
        <v>Cash</v>
      </c>
      <c r="H56" t="str">
        <v>Mon Feb 23 2026</v>
      </c>
      <c r="I56" t="str">
        <v>Fri Mar 13 2026</v>
      </c>
    </row>
    <row r="57">
      <c r="A57">
        <v>2693</v>
      </c>
      <c r="B57" t="str">
        <v xml:space="preserve">Sangita Goyal </v>
      </c>
      <c r="C57" t="str">
        <v>Female</v>
      </c>
      <c r="D57">
        <v>50</v>
      </c>
      <c r="E57">
        <v>50</v>
      </c>
      <c r="F57">
        <v>0</v>
      </c>
      <c r="G57" t="str">
        <v>Cash</v>
      </c>
      <c r="H57" t="str">
        <v>Thu Mar 12 2026</v>
      </c>
      <c r="I57" t="str">
        <v>Fri Mar 13 2026</v>
      </c>
    </row>
    <row r="58">
      <c r="A58">
        <v>2626</v>
      </c>
      <c r="B58" t="str">
        <v xml:space="preserve">Lokesh Chouhan </v>
      </c>
      <c r="C58" t="str">
        <v>Male</v>
      </c>
      <c r="D58">
        <v>50</v>
      </c>
      <c r="E58">
        <v>50</v>
      </c>
      <c r="F58">
        <v>0</v>
      </c>
      <c r="G58" t="str">
        <v>UPI</v>
      </c>
      <c r="H58" t="str">
        <v>Thu Mar 05 2026</v>
      </c>
      <c r="I58" t="str">
        <v>Fri Mar 13 2026</v>
      </c>
    </row>
    <row r="59">
      <c r="A59">
        <v>2676</v>
      </c>
      <c r="B59" t="str">
        <v xml:space="preserve">Savita Soni </v>
      </c>
      <c r="C59" t="str">
        <v>Female</v>
      </c>
      <c r="D59">
        <v>50</v>
      </c>
      <c r="E59">
        <v>50</v>
      </c>
      <c r="F59">
        <v>0</v>
      </c>
      <c r="G59" t="str">
        <v>Cash</v>
      </c>
      <c r="H59" t="str">
        <v>Tue Mar 10 2026</v>
      </c>
      <c r="I59" t="str">
        <v>Fri Mar 13 2026</v>
      </c>
    </row>
    <row r="60">
      <c r="A60">
        <v>2675</v>
      </c>
      <c r="B60" t="str">
        <v xml:space="preserve">Manoj Tomar </v>
      </c>
      <c r="C60" t="str">
        <v>Male</v>
      </c>
      <c r="D60">
        <v>50</v>
      </c>
      <c r="E60">
        <v>50</v>
      </c>
      <c r="F60">
        <v>0</v>
      </c>
      <c r="G60" t="str">
        <v>Cash</v>
      </c>
      <c r="H60" t="str">
        <v>Tue Mar 10 2026</v>
      </c>
      <c r="I60" t="str">
        <v>Fri Mar 13 2026</v>
      </c>
    </row>
    <row r="61">
      <c r="A61">
        <v>2685</v>
      </c>
      <c r="B61" t="str">
        <v xml:space="preserve">Anjali Pawar </v>
      </c>
      <c r="C61" t="str">
        <v>Female</v>
      </c>
      <c r="D61">
        <v>50</v>
      </c>
      <c r="E61">
        <v>50</v>
      </c>
      <c r="F61">
        <v>0</v>
      </c>
      <c r="G61" t="str">
        <v>UPI</v>
      </c>
      <c r="H61" t="str">
        <v>Wed Mar 11 2026</v>
      </c>
      <c r="I61" t="str">
        <v>Fri Mar 13 2026</v>
      </c>
    </row>
    <row r="62">
      <c r="A62">
        <v>2670</v>
      </c>
      <c r="B62" t="str">
        <v>Manjulata Aragwal</v>
      </c>
      <c r="C62" t="str">
        <v>Female</v>
      </c>
      <c r="D62">
        <v>50</v>
      </c>
      <c r="E62">
        <v>50</v>
      </c>
      <c r="F62">
        <v>0</v>
      </c>
      <c r="G62" t="str">
        <v>Cash</v>
      </c>
      <c r="H62" t="str">
        <v>Mon Mar 09 2026</v>
      </c>
      <c r="I62" t="str">
        <v>Fri Mar 13 2026</v>
      </c>
    </row>
    <row r="63">
      <c r="A63">
        <v>2671</v>
      </c>
      <c r="B63" t="str">
        <v xml:space="preserve">Omprakash Agrawal </v>
      </c>
      <c r="C63" t="str">
        <v>Male</v>
      </c>
      <c r="D63">
        <v>50</v>
      </c>
      <c r="E63">
        <v>50</v>
      </c>
      <c r="F63">
        <v>0</v>
      </c>
      <c r="G63" t="str">
        <v>Cash</v>
      </c>
      <c r="H63" t="str">
        <v>Mon Mar 09 2026</v>
      </c>
      <c r="I63" t="str">
        <v>Fri Mar 13 2026</v>
      </c>
    </row>
    <row r="64">
      <c r="A64">
        <v>2644</v>
      </c>
      <c r="B64" t="str">
        <v>Laxmi Sambhariya</v>
      </c>
      <c r="C64" t="str">
        <v>Female</v>
      </c>
      <c r="D64">
        <v>50</v>
      </c>
      <c r="E64">
        <v>50</v>
      </c>
      <c r="F64">
        <v>0</v>
      </c>
      <c r="G64" t="str">
        <v>Cash</v>
      </c>
      <c r="H64" t="str">
        <v>Fri Mar 06 2026</v>
      </c>
      <c r="I64" t="str">
        <v>Fri Mar 13 2026</v>
      </c>
    </row>
    <row r="65">
      <c r="A65">
        <v>2606</v>
      </c>
      <c r="B65" t="str">
        <v xml:space="preserve">Subhash Porwal </v>
      </c>
      <c r="C65" t="str">
        <v>Male</v>
      </c>
      <c r="D65">
        <v>50</v>
      </c>
      <c r="E65">
        <v>50</v>
      </c>
      <c r="F65">
        <v>0</v>
      </c>
      <c r="G65" t="str">
        <v>Cash</v>
      </c>
      <c r="H65" t="str">
        <v>Sat Feb 28 2026</v>
      </c>
      <c r="I65" t="str">
        <v>Fri Mar 13 2026</v>
      </c>
    </row>
    <row r="66">
      <c r="A66">
        <v>2658</v>
      </c>
      <c r="B66" t="str">
        <v xml:space="preserve">Nanuram Prajapat </v>
      </c>
      <c r="C66" t="str">
        <v>Male</v>
      </c>
      <c r="D66">
        <v>50</v>
      </c>
      <c r="E66">
        <v>30</v>
      </c>
      <c r="F66">
        <v>20</v>
      </c>
      <c r="G66" t="str">
        <v>Cash</v>
      </c>
      <c r="H66" t="str">
        <v>Sat Mar 07 2026</v>
      </c>
      <c r="I66" t="str">
        <v>Fri Mar 13 2026</v>
      </c>
    </row>
    <row r="67">
      <c r="A67">
        <v>2456</v>
      </c>
      <c r="B67" t="str">
        <v xml:space="preserve">D. P. Goyal </v>
      </c>
      <c r="C67" t="str">
        <v>Male</v>
      </c>
      <c r="D67">
        <v>50</v>
      </c>
      <c r="E67">
        <v>50</v>
      </c>
      <c r="F67">
        <v>0</v>
      </c>
      <c r="G67" t="str">
        <v>Cash</v>
      </c>
      <c r="H67" t="str">
        <v>Mon Feb 09 2026</v>
      </c>
      <c r="I67" t="str">
        <v>Fri Mar 13 2026</v>
      </c>
    </row>
    <row r="68">
      <c r="A68">
        <v>2682</v>
      </c>
      <c r="B68" t="str">
        <v xml:space="preserve">Munni Goyal </v>
      </c>
      <c r="C68" t="str">
        <v>Female</v>
      </c>
      <c r="D68">
        <v>70</v>
      </c>
      <c r="E68">
        <v>70</v>
      </c>
      <c r="F68">
        <v>0</v>
      </c>
      <c r="G68" t="str">
        <v>Cash</v>
      </c>
      <c r="H68" t="str">
        <v>Tue Mar 10 2026</v>
      </c>
      <c r="I68" t="str">
        <v>Fri Mar 13 2026</v>
      </c>
    </row>
    <row r="69">
      <c r="A69">
        <v>1928</v>
      </c>
      <c r="B69" t="str">
        <v xml:space="preserve">Sushma Kapur </v>
      </c>
      <c r="C69" t="str">
        <v>Female</v>
      </c>
      <c r="D69">
        <v>50</v>
      </c>
      <c r="E69">
        <v>0</v>
      </c>
      <c r="F69">
        <v>50</v>
      </c>
      <c r="G69" t="str">
        <v>Cash</v>
      </c>
      <c r="H69" t="str">
        <v>Tue Dec 02 2025</v>
      </c>
      <c r="I69" t="str">
        <v>Fri Mar 13 2026</v>
      </c>
    </row>
    <row r="70">
      <c r="A70">
        <v>2030</v>
      </c>
      <c r="B70" t="str">
        <v xml:space="preserve">Subhash Kapoor </v>
      </c>
      <c r="C70" t="str">
        <v>Male</v>
      </c>
      <c r="D70">
        <v>50</v>
      </c>
      <c r="E70">
        <v>0</v>
      </c>
      <c r="F70">
        <v>50</v>
      </c>
      <c r="G70" t="str">
        <v>Cash</v>
      </c>
      <c r="H70" t="str">
        <v>Mon Dec 15 2025</v>
      </c>
      <c r="I70" t="str">
        <v>Fri Mar 13 2026</v>
      </c>
    </row>
    <row r="71">
      <c r="A71">
        <v>2690</v>
      </c>
      <c r="B71" t="str">
        <v xml:space="preserve">Sarika salunge </v>
      </c>
      <c r="C71" t="str">
        <v>Female</v>
      </c>
      <c r="D71">
        <v>50</v>
      </c>
      <c r="E71">
        <v>50</v>
      </c>
      <c r="F71">
        <v>0</v>
      </c>
      <c r="G71" t="str">
        <v>UPI</v>
      </c>
      <c r="H71" t="str">
        <v>Thu Mar 12 2026</v>
      </c>
      <c r="I71" t="str">
        <v>Fri Mar 13 2026</v>
      </c>
    </row>
    <row r="72">
      <c r="A72">
        <v>2679</v>
      </c>
      <c r="B72" t="str">
        <v xml:space="preserve">Sima Patel 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Tue Mar 10 2026</v>
      </c>
      <c r="I72" t="str">
        <v>Fri Mar 13 2026</v>
      </c>
    </row>
    <row r="73">
      <c r="A73">
        <v>9999</v>
      </c>
      <c r="B73" t="str">
        <v>Dr. Taneja</v>
      </c>
      <c r="C73" t="str">
        <v>Male</v>
      </c>
      <c r="D73">
        <v>1350</v>
      </c>
      <c r="E73">
        <v>1350</v>
      </c>
      <c r="F73">
        <v>0</v>
      </c>
      <c r="G73" t="str">
        <v>Cash</v>
      </c>
      <c r="H73" t="str">
        <v>Fri May 03 2024</v>
      </c>
      <c r="I73" t="str">
        <v>Fri Mar 13 2026</v>
      </c>
    </row>
    <row r="74">
      <c r="A74">
        <v>9999</v>
      </c>
      <c r="B74" t="str">
        <v>Dr. Taneja</v>
      </c>
      <c r="C74" t="str">
        <v>Male</v>
      </c>
      <c r="D74">
        <v>300</v>
      </c>
      <c r="E74">
        <v>300</v>
      </c>
      <c r="F74">
        <v>0</v>
      </c>
      <c r="G74" t="str">
        <v>UPI</v>
      </c>
      <c r="H74" t="str">
        <v>Fri May 03 2024</v>
      </c>
      <c r="I74" t="str">
        <v>Fri Mar 13 2026</v>
      </c>
    </row>
    <row r="75">
      <c r="A75">
        <v>2604</v>
      </c>
      <c r="B75" t="str">
        <v xml:space="preserve">Laxmi Bhanopia </v>
      </c>
      <c r="C75" t="str">
        <v>Female</v>
      </c>
      <c r="D75">
        <v>50</v>
      </c>
      <c r="E75">
        <v>50</v>
      </c>
      <c r="F75">
        <v>0</v>
      </c>
      <c r="G75" t="str">
        <v>Cash</v>
      </c>
      <c r="H75" t="str">
        <v>Sat Feb 28 2026</v>
      </c>
      <c r="I75" t="str">
        <v>Fri Mar 13 2026</v>
      </c>
    </row>
    <row r="76">
      <c r="A76">
        <v>2618</v>
      </c>
      <c r="B76" t="str">
        <v xml:space="preserve">Pramod Paliwal </v>
      </c>
      <c r="C76" t="str">
        <v>Male</v>
      </c>
      <c r="D76">
        <v>50</v>
      </c>
      <c r="E76">
        <v>50</v>
      </c>
      <c r="F76">
        <v>0</v>
      </c>
      <c r="G76" t="str">
        <v>Cash</v>
      </c>
      <c r="H76" t="str">
        <v>Mon Mar 02 2026</v>
      </c>
      <c r="I76" t="str">
        <v>Fri Mar 13 2026</v>
      </c>
    </row>
    <row r="77">
      <c r="A77">
        <v>2703</v>
      </c>
      <c r="B77" t="str">
        <v xml:space="preserve">Dipika Shukla </v>
      </c>
      <c r="C77" t="str">
        <v>Female</v>
      </c>
      <c r="D77">
        <v>110</v>
      </c>
      <c r="E77">
        <v>110</v>
      </c>
      <c r="F77">
        <v>0</v>
      </c>
      <c r="G77" t="str">
        <v>Cash</v>
      </c>
      <c r="H77" t="str">
        <v>Fri Mar 13 2026</v>
      </c>
      <c r="I77" t="str">
        <v>Fri Mar 13 2026</v>
      </c>
    </row>
  </sheetData>
  <ignoredErrors>
    <ignoredError numberStoredAsText="1" sqref="A1:N7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79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Thu Mar 12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SUM(D10:D79)</f>
      </c>
      <c r="B7" t="e">
        <f t="array" ref="B7">SUM(E10:E79)</f>
      </c>
      <c r="C7" t="e">
        <f t="array" ref="C7">SUMIF(G10:G79, "Cash", E10:E79)</f>
      </c>
      <c r="D7" t="e">
        <f t="array" ref="D7">SUMIF(G10:G79, "UPI", E10:E79)</f>
      </c>
      <c r="E7" t="e">
        <f t="array" ref="E7">COUNTA(G10:G79)</f>
      </c>
      <c r="F7" t="e">
        <f t="array" ref="F7">COUNTIF(G10:G79, "Cash")</f>
      </c>
      <c r="G7" t="e">
        <f t="array" ref="G7">COUNTIF(G10:G79, "UPI")</f>
      </c>
      <c r="H7" t="e">
        <f t="array" ref="H7">SUM(F10:F79)</f>
      </c>
      <c r="I7" t="e">
        <f t="array" ref="I7">COUNT(FILTER(F10:F79, F10:F79=D10:D79))</f>
      </c>
      <c r="J7" t="e">
        <f t="array" ref="J7">IFERROR(ROWS(UNIQUE(FILTER(A10:A79,C10:C79="Male"))),0)</f>
      </c>
      <c r="K7" t="e">
        <f t="array" ref="K7">IFERROR(ROWS(UNIQUE(FILTER(A10:A79,C10:C79="Female"))),0)</f>
      </c>
      <c r="L7" t="e">
        <f t="array" ref="L7">IFERROR(ROWS(UNIQUE(FILTER(A10:A79,H10:H79=I10))),0)</f>
      </c>
      <c r="M7" t="e">
        <f t="array" ref="M7">IFERROR(ROWS(UNIQUE(FILTER(A10:A79,H10:H79&lt;&gt;I10))),0)</f>
      </c>
      <c r="N7" t="e">
        <f t="array" ref="N7">IFERROR(ROWS(UNIQUE(A10:A79)),0)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2676</v>
      </c>
      <c r="B10" t="str">
        <v xml:space="preserve">Savita Soni </v>
      </c>
      <c r="C10" t="str">
        <v>Female</v>
      </c>
      <c r="D10">
        <v>50</v>
      </c>
      <c r="E10">
        <v>50</v>
      </c>
      <c r="F10">
        <v>0</v>
      </c>
      <c r="G10" t="str">
        <v>Cash</v>
      </c>
      <c r="H10" t="str">
        <v>Tue Mar 10 2026</v>
      </c>
      <c r="I10" t="str">
        <v>Thu Mar 12 2026</v>
      </c>
    </row>
    <row r="11">
      <c r="A11">
        <v>2667</v>
      </c>
      <c r="B11" t="str">
        <v xml:space="preserve">Abhishek Yadav </v>
      </c>
      <c r="C11" t="str">
        <v>Male</v>
      </c>
      <c r="D11">
        <v>50</v>
      </c>
      <c r="E11">
        <v>50</v>
      </c>
      <c r="F11">
        <v>0</v>
      </c>
      <c r="G11" t="str">
        <v>Cash</v>
      </c>
      <c r="H11" t="str">
        <v>Mon Mar 09 2026</v>
      </c>
      <c r="I11" t="str">
        <v>Thu Mar 12 2026</v>
      </c>
    </row>
    <row r="12">
      <c r="A12">
        <v>2668</v>
      </c>
      <c r="B12" t="str">
        <v xml:space="preserve">Rishab Tiwari 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Mon Mar 09 2026</v>
      </c>
      <c r="I12" t="str">
        <v>Thu Mar 12 2026</v>
      </c>
    </row>
    <row r="13">
      <c r="A13">
        <v>2661</v>
      </c>
      <c r="B13" t="str">
        <v xml:space="preserve">Manish Pancholi </v>
      </c>
      <c r="C13" t="str">
        <v>Male</v>
      </c>
      <c r="D13">
        <v>50</v>
      </c>
      <c r="E13">
        <v>50</v>
      </c>
      <c r="F13">
        <v>0</v>
      </c>
      <c r="G13" t="str">
        <v>UPI</v>
      </c>
      <c r="H13" t="str">
        <v>Mon Mar 09 2026</v>
      </c>
      <c r="I13" t="str">
        <v>Thu Mar 12 2026</v>
      </c>
    </row>
    <row r="14">
      <c r="A14">
        <v>2662</v>
      </c>
      <c r="B14" t="str">
        <v xml:space="preserve">Gajendra Khare 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Mar 09 2026</v>
      </c>
      <c r="I14" t="str">
        <v>Thu Mar 12 2026</v>
      </c>
    </row>
    <row r="15">
      <c r="A15">
        <v>996</v>
      </c>
      <c r="B15" t="str">
        <v>Sarita Rathor</v>
      </c>
      <c r="C15" t="str">
        <v>Female</v>
      </c>
      <c r="D15">
        <v>50</v>
      </c>
      <c r="E15">
        <v>0</v>
      </c>
      <c r="F15">
        <v>50</v>
      </c>
      <c r="G15" t="str">
        <v>Cash</v>
      </c>
      <c r="H15" t="str">
        <v>Sat Jul 19 2025</v>
      </c>
      <c r="I15" t="str">
        <v>Thu Mar 12 2026</v>
      </c>
    </row>
    <row r="16">
      <c r="A16">
        <v>1437</v>
      </c>
      <c r="B16" t="str">
        <v>Suraj Dharve</v>
      </c>
      <c r="C16" t="str">
        <v>Female</v>
      </c>
      <c r="D16">
        <v>50</v>
      </c>
      <c r="E16">
        <v>0</v>
      </c>
      <c r="F16">
        <v>50</v>
      </c>
      <c r="G16" t="str">
        <v>Cash</v>
      </c>
      <c r="H16" t="str">
        <v>Fri Sep 19 2025</v>
      </c>
      <c r="I16" t="str">
        <v>Thu Mar 12 2026</v>
      </c>
    </row>
    <row r="17">
      <c r="A17">
        <v>1645</v>
      </c>
      <c r="B17" t="str">
        <v>Jaiprakash Mishra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Mon Oct 27 2025</v>
      </c>
      <c r="I17" t="str">
        <v>Thu Mar 12 2026</v>
      </c>
    </row>
    <row r="18">
      <c r="A18">
        <v>2678</v>
      </c>
      <c r="B18" t="str">
        <v>Mangesh Rai</v>
      </c>
      <c r="C18" t="str">
        <v>Male</v>
      </c>
      <c r="D18">
        <v>50</v>
      </c>
      <c r="E18">
        <v>50</v>
      </c>
      <c r="F18">
        <v>0</v>
      </c>
      <c r="G18" t="str">
        <v>Cash</v>
      </c>
      <c r="H18" t="str">
        <v>Tue Mar 10 2026</v>
      </c>
      <c r="I18" t="str">
        <v>Thu Mar 12 2026</v>
      </c>
    </row>
    <row r="19">
      <c r="A19">
        <v>2677</v>
      </c>
      <c r="B19" t="str">
        <v>Vibha Godha</v>
      </c>
      <c r="C19" t="str">
        <v>Female</v>
      </c>
      <c r="D19">
        <v>50</v>
      </c>
      <c r="E19">
        <v>50</v>
      </c>
      <c r="F19">
        <v>0</v>
      </c>
      <c r="G19" t="str">
        <v>Cash</v>
      </c>
      <c r="H19" t="str">
        <v>Tue Mar 10 2026</v>
      </c>
      <c r="I19" t="str">
        <v>Thu Mar 12 2026</v>
      </c>
    </row>
    <row r="20">
      <c r="A20">
        <v>2656</v>
      </c>
      <c r="B20" t="str">
        <v xml:space="preserve">Ashish Varma 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Sat Mar 07 2026</v>
      </c>
      <c r="I20" t="str">
        <v>Thu Mar 12 2026</v>
      </c>
    </row>
    <row r="21">
      <c r="A21">
        <v>2581</v>
      </c>
      <c r="B21" t="str">
        <v xml:space="preserve">Radheshyam Bhavsar </v>
      </c>
      <c r="C21" t="str">
        <v>Male</v>
      </c>
      <c r="D21">
        <v>50</v>
      </c>
      <c r="E21">
        <v>50</v>
      </c>
      <c r="F21">
        <v>0</v>
      </c>
      <c r="G21" t="str">
        <v>Cash</v>
      </c>
      <c r="H21" t="str">
        <v>Wed Feb 25 2026</v>
      </c>
      <c r="I21" t="str">
        <v>Thu Mar 12 2026</v>
      </c>
    </row>
    <row r="22">
      <c r="A22">
        <v>2686</v>
      </c>
      <c r="B22" t="str">
        <v xml:space="preserve">Devilal Kasera </v>
      </c>
      <c r="C22" t="str">
        <v>Male</v>
      </c>
      <c r="D22">
        <v>110</v>
      </c>
      <c r="E22">
        <v>110</v>
      </c>
      <c r="F22">
        <v>0</v>
      </c>
      <c r="G22" t="str">
        <v>Cash</v>
      </c>
      <c r="H22" t="str">
        <v>Thu Mar 12 2026</v>
      </c>
      <c r="I22" t="str">
        <v>Thu Mar 12 2026</v>
      </c>
    </row>
    <row r="23">
      <c r="A23">
        <v>2451</v>
      </c>
      <c r="B23" t="str">
        <v xml:space="preserve">Prakash Joshi </v>
      </c>
      <c r="C23" t="str">
        <v>Male</v>
      </c>
      <c r="D23">
        <v>70</v>
      </c>
      <c r="E23">
        <v>70</v>
      </c>
      <c r="F23">
        <v>0</v>
      </c>
      <c r="G23" t="str">
        <v>Cash</v>
      </c>
      <c r="H23" t="str">
        <v>Mon Feb 09 2026</v>
      </c>
      <c r="I23" t="str">
        <v>Thu Mar 12 2026</v>
      </c>
    </row>
    <row r="24">
      <c r="A24">
        <v>2638</v>
      </c>
      <c r="B24" t="str">
        <v xml:space="preserve">Kamalchand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Fri Mar 06 2026</v>
      </c>
      <c r="I24" t="str">
        <v>Thu Mar 12 2026</v>
      </c>
    </row>
    <row r="25">
      <c r="A25">
        <v>2624</v>
      </c>
      <c r="B25" t="str">
        <v xml:space="preserve">Mukesh Chauhan </v>
      </c>
      <c r="C25" t="str">
        <v>Male</v>
      </c>
      <c r="D25">
        <v>50</v>
      </c>
      <c r="E25">
        <v>50</v>
      </c>
      <c r="F25">
        <v>0</v>
      </c>
      <c r="G25" t="str">
        <v>UPI</v>
      </c>
      <c r="H25" t="str">
        <v>Thu Mar 05 2026</v>
      </c>
      <c r="I25" t="str">
        <v>Thu Mar 12 2026</v>
      </c>
    </row>
    <row r="26">
      <c r="A26">
        <v>2471</v>
      </c>
      <c r="B26" t="str">
        <v>Ashwini Gundigawkar</v>
      </c>
      <c r="C26" t="str">
        <v>Female</v>
      </c>
      <c r="D26">
        <v>110</v>
      </c>
      <c r="E26">
        <v>110</v>
      </c>
      <c r="F26">
        <v>0</v>
      </c>
      <c r="G26" t="str">
        <v>Cash</v>
      </c>
      <c r="H26" t="str">
        <v>Wed Feb 11 2026</v>
      </c>
      <c r="I26" t="str">
        <v>Thu Mar 12 2026</v>
      </c>
    </row>
    <row r="27">
      <c r="A27">
        <v>2628</v>
      </c>
      <c r="B27" t="str">
        <v xml:space="preserve">Arun Mittal </v>
      </c>
      <c r="C27" t="str">
        <v>Male</v>
      </c>
      <c r="D27">
        <v>50</v>
      </c>
      <c r="E27">
        <v>50</v>
      </c>
      <c r="F27">
        <v>0</v>
      </c>
      <c r="G27" t="str">
        <v>Cash</v>
      </c>
      <c r="H27" t="str">
        <v>Thu Mar 05 2026</v>
      </c>
      <c r="I27" t="str">
        <v>Thu Mar 12 2026</v>
      </c>
    </row>
    <row r="28">
      <c r="A28">
        <v>2657</v>
      </c>
      <c r="B28" t="str">
        <v xml:space="preserve">Ankush lokhande </v>
      </c>
      <c r="C28" t="str">
        <v>Male</v>
      </c>
      <c r="D28">
        <v>50</v>
      </c>
      <c r="E28">
        <v>50</v>
      </c>
      <c r="F28">
        <v>0</v>
      </c>
      <c r="G28" t="str">
        <v>UPI</v>
      </c>
      <c r="H28" t="str">
        <v>Sat Mar 07 2026</v>
      </c>
      <c r="I28" t="str">
        <v>Thu Mar 12 2026</v>
      </c>
    </row>
    <row r="29">
      <c r="A29">
        <v>2626</v>
      </c>
      <c r="B29" t="str">
        <v xml:space="preserve">Lokesh Chouhan </v>
      </c>
      <c r="C29" t="str">
        <v>Male</v>
      </c>
      <c r="D29">
        <v>50</v>
      </c>
      <c r="E29">
        <v>50</v>
      </c>
      <c r="F29">
        <v>0</v>
      </c>
      <c r="G29" t="str">
        <v>UPI</v>
      </c>
      <c r="H29" t="str">
        <v>Thu Mar 05 2026</v>
      </c>
      <c r="I29" t="str">
        <v>Thu Mar 12 2026</v>
      </c>
    </row>
    <row r="30">
      <c r="A30">
        <v>2098</v>
      </c>
      <c r="B30" t="str">
        <v>Sudha Panday</v>
      </c>
      <c r="C30" t="str">
        <v>Female</v>
      </c>
      <c r="D30">
        <v>110</v>
      </c>
      <c r="E30">
        <v>110</v>
      </c>
      <c r="F30">
        <v>0</v>
      </c>
      <c r="G30" t="str">
        <v>Cash</v>
      </c>
      <c r="H30" t="str">
        <v>Tue Dec 23 2025</v>
      </c>
      <c r="I30" t="str">
        <v>Thu Mar 12 2026</v>
      </c>
    </row>
    <row r="31">
      <c r="A31">
        <v>2655</v>
      </c>
      <c r="B31" t="str">
        <v xml:space="preserve">Abhishek Dubey </v>
      </c>
      <c r="C31" t="str">
        <v>Male</v>
      </c>
      <c r="D31">
        <v>50</v>
      </c>
      <c r="E31">
        <v>50</v>
      </c>
      <c r="F31">
        <v>0</v>
      </c>
      <c r="G31" t="str">
        <v>Cash</v>
      </c>
      <c r="H31" t="str">
        <v>Sat Mar 07 2026</v>
      </c>
      <c r="I31" t="str">
        <v>Thu Mar 12 2026</v>
      </c>
    </row>
    <row r="32">
      <c r="A32">
        <v>2588</v>
      </c>
      <c r="B32" t="str">
        <v>Krishna varma</v>
      </c>
      <c r="C32" t="str">
        <v>Female</v>
      </c>
      <c r="D32">
        <v>50</v>
      </c>
      <c r="E32">
        <v>50</v>
      </c>
      <c r="F32">
        <v>0</v>
      </c>
      <c r="G32" t="str">
        <v>Cash</v>
      </c>
      <c r="H32" t="str">
        <v>Thu Feb 26 2026</v>
      </c>
      <c r="I32" t="str">
        <v>Thu Mar 12 2026</v>
      </c>
    </row>
    <row r="33">
      <c r="A33">
        <v>2687</v>
      </c>
      <c r="B33" t="str">
        <v xml:space="preserve">Hempushpa Chouhan </v>
      </c>
      <c r="C33" t="str">
        <v>Female</v>
      </c>
      <c r="D33">
        <v>110</v>
      </c>
      <c r="E33">
        <v>110</v>
      </c>
      <c r="F33">
        <v>0</v>
      </c>
      <c r="G33" t="str">
        <v>Cash</v>
      </c>
      <c r="H33" t="str">
        <v>Thu Mar 12 2026</v>
      </c>
      <c r="I33" t="str">
        <v>Thu Mar 12 2026</v>
      </c>
    </row>
    <row r="34">
      <c r="A34">
        <v>2672</v>
      </c>
      <c r="B34" t="str">
        <v xml:space="preserve">Pravin Vaishnav </v>
      </c>
      <c r="C34" t="str">
        <v>Male</v>
      </c>
      <c r="D34">
        <v>50</v>
      </c>
      <c r="E34">
        <v>50</v>
      </c>
      <c r="F34">
        <v>0</v>
      </c>
      <c r="G34" t="str">
        <v>UPI</v>
      </c>
      <c r="H34" t="str">
        <v>Mon Mar 09 2026</v>
      </c>
      <c r="I34" t="str">
        <v>Thu Mar 12 2026</v>
      </c>
    </row>
    <row r="35">
      <c r="A35">
        <v>2224</v>
      </c>
      <c r="B35" t="str">
        <v xml:space="preserve">Vidhya Maheshwari </v>
      </c>
      <c r="C35" t="str">
        <v>Female</v>
      </c>
      <c r="D35">
        <v>110</v>
      </c>
      <c r="E35">
        <v>110</v>
      </c>
      <c r="F35">
        <v>0</v>
      </c>
      <c r="G35" t="str">
        <v>Cash</v>
      </c>
      <c r="H35" t="str">
        <v>Tue Jan 13 2026</v>
      </c>
      <c r="I35" t="str">
        <v>Thu Mar 12 2026</v>
      </c>
    </row>
    <row r="36">
      <c r="A36">
        <v>2619</v>
      </c>
      <c r="B36" t="str">
        <v>Kailash Mathur</v>
      </c>
      <c r="C36" t="str">
        <v>Male</v>
      </c>
      <c r="D36">
        <v>50</v>
      </c>
      <c r="E36">
        <v>50</v>
      </c>
      <c r="F36">
        <v>0</v>
      </c>
      <c r="G36" t="str">
        <v>Cash</v>
      </c>
      <c r="H36" t="str">
        <v>Tue Mar 03 2026</v>
      </c>
      <c r="I36" t="str">
        <v>Thu Mar 12 2026</v>
      </c>
    </row>
    <row r="37">
      <c r="A37">
        <v>2584</v>
      </c>
      <c r="B37" t="str">
        <v xml:space="preserve">Lokesh Raghuvanshi </v>
      </c>
      <c r="C37" t="str">
        <v>Male</v>
      </c>
      <c r="D37">
        <v>70</v>
      </c>
      <c r="E37">
        <v>70</v>
      </c>
      <c r="F37">
        <v>0</v>
      </c>
      <c r="G37" t="str">
        <v>UPI</v>
      </c>
      <c r="H37" t="str">
        <v>Thu Feb 26 2026</v>
      </c>
      <c r="I37" t="str">
        <v>Thu Mar 12 2026</v>
      </c>
    </row>
    <row r="38">
      <c r="A38">
        <v>2688</v>
      </c>
      <c r="B38" t="str">
        <v xml:space="preserve">Punam Lokhande </v>
      </c>
      <c r="C38" t="str">
        <v>Female</v>
      </c>
      <c r="D38">
        <v>110</v>
      </c>
      <c r="E38">
        <v>110</v>
      </c>
      <c r="F38">
        <v>0</v>
      </c>
      <c r="G38" t="str">
        <v>UPI</v>
      </c>
      <c r="H38" t="str">
        <v>Thu Mar 12 2026</v>
      </c>
      <c r="I38" t="str">
        <v>Thu Mar 12 2026</v>
      </c>
    </row>
    <row r="39">
      <c r="A39">
        <v>2685</v>
      </c>
      <c r="B39" t="str">
        <v xml:space="preserve">Anjali Pawar </v>
      </c>
      <c r="C39" t="str">
        <v>Female</v>
      </c>
      <c r="D39">
        <v>50</v>
      </c>
      <c r="E39">
        <v>50</v>
      </c>
      <c r="F39">
        <v>0</v>
      </c>
      <c r="G39" t="str">
        <v>UPI</v>
      </c>
      <c r="H39" t="str">
        <v>Wed Mar 11 2026</v>
      </c>
      <c r="I39" t="str">
        <v>Thu Mar 12 2026</v>
      </c>
    </row>
    <row r="40">
      <c r="A40">
        <v>2452</v>
      </c>
      <c r="B40" t="str">
        <v xml:space="preserve">B. S. Rajput 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Mon Feb 09 2026</v>
      </c>
      <c r="I40" t="str">
        <v>Thu Mar 12 2026</v>
      </c>
    </row>
    <row r="41">
      <c r="A41">
        <v>2689</v>
      </c>
      <c r="B41" t="str">
        <v xml:space="preserve">Mamta Namdev </v>
      </c>
      <c r="C41" t="str">
        <v>Female</v>
      </c>
      <c r="D41">
        <v>110</v>
      </c>
      <c r="E41">
        <v>110</v>
      </c>
      <c r="F41">
        <v>0</v>
      </c>
      <c r="G41" t="str">
        <v>Cash</v>
      </c>
      <c r="H41" t="str">
        <v>Thu Mar 12 2026</v>
      </c>
      <c r="I41" t="str">
        <v>Thu Mar 12 2026</v>
      </c>
    </row>
    <row r="42">
      <c r="A42">
        <v>2675</v>
      </c>
      <c r="B42" t="str">
        <v xml:space="preserve">Manoj Tomar </v>
      </c>
      <c r="C42" t="str">
        <v>Male</v>
      </c>
      <c r="D42">
        <v>50</v>
      </c>
      <c r="E42">
        <v>50</v>
      </c>
      <c r="F42">
        <v>0</v>
      </c>
      <c r="G42" t="str">
        <v>Cash</v>
      </c>
      <c r="H42" t="str">
        <v>Tue Mar 10 2026</v>
      </c>
      <c r="I42" t="str">
        <v>Thu Mar 12 2026</v>
      </c>
    </row>
    <row r="43">
      <c r="A43">
        <v>2498</v>
      </c>
      <c r="B43" t="str">
        <v>Shanti Saad</v>
      </c>
      <c r="C43" t="str">
        <v>Female</v>
      </c>
      <c r="D43">
        <v>50</v>
      </c>
      <c r="E43">
        <v>50</v>
      </c>
      <c r="F43">
        <v>0</v>
      </c>
      <c r="G43" t="str">
        <v>UPI</v>
      </c>
      <c r="H43" t="str">
        <v>Sat Feb 14 2026</v>
      </c>
      <c r="I43" t="str">
        <v>Thu Mar 12 2026</v>
      </c>
    </row>
    <row r="44">
      <c r="A44">
        <v>2690</v>
      </c>
      <c r="B44" t="str">
        <v xml:space="preserve">Sarika salunge </v>
      </c>
      <c r="C44" t="str">
        <v>Female</v>
      </c>
      <c r="D44">
        <v>110</v>
      </c>
      <c r="E44">
        <v>110</v>
      </c>
      <c r="F44">
        <v>0</v>
      </c>
      <c r="G44" t="str">
        <v>Cash</v>
      </c>
      <c r="H44" t="str">
        <v>Thu Mar 12 2026</v>
      </c>
      <c r="I44" t="str">
        <v>Thu Mar 12 2026</v>
      </c>
    </row>
    <row r="45">
      <c r="A45">
        <v>2691</v>
      </c>
      <c r="B45" t="str">
        <v xml:space="preserve">Dinesh Jain </v>
      </c>
      <c r="C45" t="str">
        <v>Male</v>
      </c>
      <c r="D45">
        <v>110</v>
      </c>
      <c r="E45">
        <v>110</v>
      </c>
      <c r="F45">
        <v>0</v>
      </c>
      <c r="G45" t="str">
        <v>UPI</v>
      </c>
      <c r="H45" t="str">
        <v>Thu Mar 12 2026</v>
      </c>
      <c r="I45" t="str">
        <v>Thu Mar 12 2026</v>
      </c>
    </row>
    <row r="46">
      <c r="A46">
        <v>2666</v>
      </c>
      <c r="B46" t="str">
        <v>Bharti Bhomik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Mon Mar 09 2026</v>
      </c>
      <c r="I46" t="str">
        <v>Thu Mar 12 2026</v>
      </c>
    </row>
    <row r="47">
      <c r="A47">
        <v>2674</v>
      </c>
      <c r="B47" t="str">
        <v xml:space="preserve">Mira Sharma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Tue Mar 10 2026</v>
      </c>
      <c r="I47" t="str">
        <v>Thu Mar 12 2026</v>
      </c>
    </row>
    <row r="48">
      <c r="A48">
        <v>2633</v>
      </c>
      <c r="B48" t="str">
        <v xml:space="preserve">Resham Baghel 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Thu Mar 05 2026</v>
      </c>
      <c r="I48" t="str">
        <v>Thu Mar 12 2026</v>
      </c>
    </row>
    <row r="49">
      <c r="A49">
        <v>2529</v>
      </c>
      <c r="B49" t="str">
        <v xml:space="preserve">Rajani Joshi </v>
      </c>
      <c r="C49" t="str">
        <v>Female</v>
      </c>
      <c r="D49">
        <v>70</v>
      </c>
      <c r="E49">
        <v>70</v>
      </c>
      <c r="F49">
        <v>0</v>
      </c>
      <c r="G49" t="str">
        <v>UPI</v>
      </c>
      <c r="H49" t="str">
        <v>Fri Feb 20 2026</v>
      </c>
      <c r="I49" t="str">
        <v>Thu Mar 12 2026</v>
      </c>
    </row>
    <row r="50">
      <c r="A50">
        <v>2496</v>
      </c>
      <c r="B50" t="str">
        <v xml:space="preserve">Urmila Sharma 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Sat Feb 14 2026</v>
      </c>
      <c r="I50" t="str">
        <v>Thu Mar 12 2026</v>
      </c>
    </row>
    <row r="51">
      <c r="A51">
        <v>2652</v>
      </c>
      <c r="B51" t="str">
        <v xml:space="preserve">Ganesh Patel 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Sat Mar 07 2026</v>
      </c>
      <c r="I51" t="str">
        <v>Thu Mar 12 2026</v>
      </c>
    </row>
    <row r="52">
      <c r="A52">
        <v>2669</v>
      </c>
      <c r="B52" t="str">
        <v>Jay Prakash Diya</v>
      </c>
      <c r="C52" t="str">
        <v>Male</v>
      </c>
      <c r="D52">
        <v>50</v>
      </c>
      <c r="E52">
        <v>50</v>
      </c>
      <c r="F52">
        <v>0</v>
      </c>
      <c r="G52" t="str">
        <v>UPI</v>
      </c>
      <c r="H52" t="str">
        <v>Mon Mar 09 2026</v>
      </c>
      <c r="I52" t="str">
        <v>Thu Mar 12 2026</v>
      </c>
    </row>
    <row r="53">
      <c r="A53">
        <v>2544</v>
      </c>
      <c r="B53" t="str">
        <v>Nitin singh</v>
      </c>
      <c r="C53" t="str">
        <v>Male</v>
      </c>
      <c r="D53">
        <v>50</v>
      </c>
      <c r="E53">
        <v>50</v>
      </c>
      <c r="F53">
        <v>0</v>
      </c>
      <c r="G53" t="str">
        <v>Cash</v>
      </c>
      <c r="H53" t="str">
        <v>Mon Feb 23 2026</v>
      </c>
      <c r="I53" t="str">
        <v>Thu Mar 12 2026</v>
      </c>
    </row>
    <row r="54">
      <c r="A54">
        <v>2614</v>
      </c>
      <c r="B54" t="str">
        <v xml:space="preserve">Sushma Morya </v>
      </c>
      <c r="C54" t="str">
        <v>Female</v>
      </c>
      <c r="D54">
        <v>50</v>
      </c>
      <c r="E54">
        <v>50</v>
      </c>
      <c r="F54">
        <v>0</v>
      </c>
      <c r="G54" t="str">
        <v>Cash</v>
      </c>
      <c r="H54" t="str">
        <v>Mon Mar 02 2026</v>
      </c>
      <c r="I54" t="str">
        <v>Thu Mar 12 2026</v>
      </c>
    </row>
    <row r="55">
      <c r="A55">
        <v>2646</v>
      </c>
      <c r="B55" t="str">
        <v xml:space="preserve">Mira Varma </v>
      </c>
      <c r="C55" t="str">
        <v>Female</v>
      </c>
      <c r="D55">
        <v>50</v>
      </c>
      <c r="E55">
        <v>50</v>
      </c>
      <c r="F55">
        <v>0</v>
      </c>
      <c r="G55" t="str">
        <v>Cash</v>
      </c>
      <c r="H55" t="str">
        <v>Fri Mar 06 2026</v>
      </c>
      <c r="I55" t="str">
        <v>Thu Mar 12 2026</v>
      </c>
    </row>
    <row r="56">
      <c r="A56">
        <v>2625</v>
      </c>
      <c r="B56" t="str">
        <v>Vijay khetan</v>
      </c>
      <c r="C56" t="str">
        <v>Male</v>
      </c>
      <c r="D56">
        <v>50</v>
      </c>
      <c r="E56">
        <v>50</v>
      </c>
      <c r="F56">
        <v>0</v>
      </c>
      <c r="G56" t="str">
        <v>Cash</v>
      </c>
      <c r="H56" t="str">
        <v>Thu Mar 05 2026</v>
      </c>
      <c r="I56" t="str">
        <v>Thu Mar 12 2026</v>
      </c>
    </row>
    <row r="57">
      <c r="A57">
        <v>2618</v>
      </c>
      <c r="B57" t="str">
        <v xml:space="preserve">Pramod Paliwal </v>
      </c>
      <c r="C57" t="str">
        <v>Male</v>
      </c>
      <c r="D57">
        <v>50</v>
      </c>
      <c r="E57">
        <v>50</v>
      </c>
      <c r="F57">
        <v>0</v>
      </c>
      <c r="G57" t="str">
        <v>Cash</v>
      </c>
      <c r="H57" t="str">
        <v>Mon Mar 02 2026</v>
      </c>
      <c r="I57" t="str">
        <v>Thu Mar 12 2026</v>
      </c>
    </row>
    <row r="58">
      <c r="A58">
        <v>2382</v>
      </c>
      <c r="B58" t="str">
        <v xml:space="preserve">Vijay Rathore </v>
      </c>
      <c r="C58" t="str">
        <v>Male</v>
      </c>
      <c r="D58">
        <v>50</v>
      </c>
      <c r="E58">
        <v>50</v>
      </c>
      <c r="F58">
        <v>0</v>
      </c>
      <c r="G58" t="str">
        <v>UPI</v>
      </c>
      <c r="H58" t="str">
        <v>Mon Feb 02 2026</v>
      </c>
      <c r="I58" t="str">
        <v>Thu Mar 12 2026</v>
      </c>
    </row>
    <row r="59">
      <c r="A59">
        <v>2683</v>
      </c>
      <c r="B59" t="str">
        <v>Bindu Ojha</v>
      </c>
      <c r="C59" t="str">
        <v>Female</v>
      </c>
      <c r="D59">
        <v>50</v>
      </c>
      <c r="E59">
        <v>50</v>
      </c>
      <c r="F59">
        <v>0</v>
      </c>
      <c r="G59" t="str">
        <v>Cash</v>
      </c>
      <c r="H59" t="str">
        <v>Wed Mar 11 2026</v>
      </c>
      <c r="I59" t="str">
        <v>Thu Mar 12 2026</v>
      </c>
    </row>
    <row r="60">
      <c r="A60">
        <v>2577</v>
      </c>
      <c r="B60" t="str">
        <v xml:space="preserve">Sunita Gupta </v>
      </c>
      <c r="C60" t="str">
        <v>Female</v>
      </c>
      <c r="D60">
        <v>50</v>
      </c>
      <c r="E60">
        <v>50</v>
      </c>
      <c r="F60">
        <v>0</v>
      </c>
      <c r="G60" t="str">
        <v>Cash</v>
      </c>
      <c r="H60" t="str">
        <v>Wed Feb 25 2026</v>
      </c>
      <c r="I60" t="str">
        <v>Thu Mar 12 2026</v>
      </c>
    </row>
    <row r="61">
      <c r="A61">
        <v>2665</v>
      </c>
      <c r="B61" t="str">
        <v xml:space="preserve">Harish Mishra </v>
      </c>
      <c r="C61" t="str">
        <v>Male</v>
      </c>
      <c r="D61">
        <v>50</v>
      </c>
      <c r="E61">
        <v>50</v>
      </c>
      <c r="F61">
        <v>0</v>
      </c>
      <c r="G61" t="str">
        <v>Cash</v>
      </c>
      <c r="H61" t="str">
        <v>Mon Mar 09 2026</v>
      </c>
      <c r="I61" t="str">
        <v>Thu Mar 12 2026</v>
      </c>
    </row>
    <row r="62">
      <c r="A62">
        <v>2692</v>
      </c>
      <c r="B62" t="str">
        <v>Neela</v>
      </c>
      <c r="C62" t="str">
        <v>Female</v>
      </c>
      <c r="D62">
        <v>110</v>
      </c>
      <c r="E62">
        <v>0</v>
      </c>
      <c r="F62">
        <v>110</v>
      </c>
      <c r="G62" t="str">
        <v>Cash</v>
      </c>
      <c r="H62" t="str">
        <v>Thu Mar 12 2026</v>
      </c>
      <c r="I62" t="str">
        <v>Thu Mar 12 2026</v>
      </c>
    </row>
    <row r="63">
      <c r="A63">
        <v>2693</v>
      </c>
      <c r="B63" t="str">
        <v xml:space="preserve">Sangita Goyal </v>
      </c>
      <c r="C63" t="str">
        <v>Female</v>
      </c>
      <c r="D63">
        <v>110</v>
      </c>
      <c r="E63">
        <v>110</v>
      </c>
      <c r="F63">
        <v>0</v>
      </c>
      <c r="G63" t="str">
        <v>UPI</v>
      </c>
      <c r="H63" t="str">
        <v>Thu Mar 12 2026</v>
      </c>
      <c r="I63" t="str">
        <v>Thu Mar 12 2026</v>
      </c>
    </row>
    <row r="64">
      <c r="A64">
        <v>2658</v>
      </c>
      <c r="B64" t="str">
        <v xml:space="preserve">Nanuram Prajapat </v>
      </c>
      <c r="C64" t="str">
        <v>Male</v>
      </c>
      <c r="D64">
        <v>50</v>
      </c>
      <c r="E64">
        <v>30</v>
      </c>
      <c r="F64">
        <v>20</v>
      </c>
      <c r="G64" t="str">
        <v>Cash</v>
      </c>
      <c r="H64" t="str">
        <v>Sat Mar 07 2026</v>
      </c>
      <c r="I64" t="str">
        <v>Thu Mar 12 2026</v>
      </c>
    </row>
    <row r="65">
      <c r="A65">
        <v>2671</v>
      </c>
      <c r="B65" t="str">
        <v xml:space="preserve">Omprakash Agrawal </v>
      </c>
      <c r="C65" t="str">
        <v>Male</v>
      </c>
      <c r="D65">
        <v>50</v>
      </c>
      <c r="E65">
        <v>50</v>
      </c>
      <c r="F65">
        <v>0</v>
      </c>
      <c r="G65" t="str">
        <v>Cash</v>
      </c>
      <c r="H65" t="str">
        <v>Mon Mar 09 2026</v>
      </c>
      <c r="I65" t="str">
        <v>Thu Mar 12 2026</v>
      </c>
    </row>
    <row r="66">
      <c r="A66">
        <v>2670</v>
      </c>
      <c r="B66" t="str">
        <v>Manjulata Aragwal</v>
      </c>
      <c r="C66" t="str">
        <v>Female</v>
      </c>
      <c r="D66">
        <v>50</v>
      </c>
      <c r="E66">
        <v>50</v>
      </c>
      <c r="F66">
        <v>0</v>
      </c>
      <c r="G66" t="str">
        <v>Cash</v>
      </c>
      <c r="H66" t="str">
        <v>Mon Mar 09 2026</v>
      </c>
      <c r="I66" t="str">
        <v>Thu Mar 12 2026</v>
      </c>
    </row>
    <row r="67">
      <c r="A67">
        <v>2654</v>
      </c>
      <c r="B67" t="str">
        <v xml:space="preserve">Kavita Pawar </v>
      </c>
      <c r="C67" t="str">
        <v>Female</v>
      </c>
      <c r="D67">
        <v>50</v>
      </c>
      <c r="E67">
        <v>50</v>
      </c>
      <c r="F67">
        <v>0</v>
      </c>
      <c r="G67" t="str">
        <v>Cash</v>
      </c>
      <c r="H67" t="str">
        <v>Sat Mar 07 2026</v>
      </c>
      <c r="I67" t="str">
        <v>Thu Mar 12 2026</v>
      </c>
    </row>
    <row r="68">
      <c r="A68">
        <v>2694</v>
      </c>
      <c r="B68" t="str">
        <v xml:space="preserve">Lakshay kasera </v>
      </c>
      <c r="C68" t="str">
        <v>Male</v>
      </c>
      <c r="D68">
        <v>110</v>
      </c>
      <c r="E68">
        <v>110</v>
      </c>
      <c r="F68">
        <v>0</v>
      </c>
      <c r="G68" t="str">
        <v>UPI</v>
      </c>
      <c r="H68" t="str">
        <v>Thu Mar 12 2026</v>
      </c>
      <c r="I68" t="str">
        <v>Thu Mar 12 2026</v>
      </c>
    </row>
    <row r="69">
      <c r="A69">
        <v>2679</v>
      </c>
      <c r="B69" t="str">
        <v xml:space="preserve">Sima Patel </v>
      </c>
      <c r="C69" t="str">
        <v>Female</v>
      </c>
      <c r="D69">
        <v>50</v>
      </c>
      <c r="E69">
        <v>50</v>
      </c>
      <c r="F69">
        <v>0</v>
      </c>
      <c r="G69" t="str">
        <v>Cash</v>
      </c>
      <c r="H69" t="str">
        <v>Tue Mar 10 2026</v>
      </c>
      <c r="I69" t="str">
        <v>Thu Mar 12 2026</v>
      </c>
    </row>
    <row r="70">
      <c r="A70">
        <v>2456</v>
      </c>
      <c r="B70" t="str">
        <v xml:space="preserve">D. P. Goyal </v>
      </c>
      <c r="C70" t="str">
        <v>Male</v>
      </c>
      <c r="D70">
        <v>50</v>
      </c>
      <c r="E70">
        <v>50</v>
      </c>
      <c r="F70">
        <v>0</v>
      </c>
      <c r="G70" t="str">
        <v>Cash</v>
      </c>
      <c r="H70" t="str">
        <v>Mon Feb 09 2026</v>
      </c>
      <c r="I70" t="str">
        <v>Thu Mar 12 2026</v>
      </c>
    </row>
    <row r="71">
      <c r="A71">
        <v>2644</v>
      </c>
      <c r="B71" t="str">
        <v>Laxmi Sambhariya</v>
      </c>
      <c r="C71" t="str">
        <v>Female</v>
      </c>
      <c r="D71">
        <v>50</v>
      </c>
      <c r="E71">
        <v>50</v>
      </c>
      <c r="F71">
        <v>0</v>
      </c>
      <c r="G71" t="str">
        <v>Cash</v>
      </c>
      <c r="H71" t="str">
        <v>Fri Mar 06 2026</v>
      </c>
      <c r="I71" t="str">
        <v>Thu Mar 12 2026</v>
      </c>
    </row>
    <row r="72">
      <c r="A72">
        <v>2536</v>
      </c>
      <c r="B72" t="str">
        <v>Rajendra Yadav</v>
      </c>
      <c r="C72" t="str">
        <v>Male</v>
      </c>
      <c r="D72">
        <v>70</v>
      </c>
      <c r="E72">
        <v>70</v>
      </c>
      <c r="F72">
        <v>0</v>
      </c>
      <c r="G72" t="str">
        <v>Cash</v>
      </c>
      <c r="H72" t="str">
        <v>Sat Feb 21 2026</v>
      </c>
      <c r="I72" t="str">
        <v>Thu Mar 12 2026</v>
      </c>
    </row>
    <row r="73">
      <c r="A73">
        <v>2680</v>
      </c>
      <c r="B73" t="str">
        <v xml:space="preserve">Akbar khan </v>
      </c>
      <c r="C73" t="str">
        <v>Male</v>
      </c>
      <c r="D73">
        <v>50</v>
      </c>
      <c r="E73">
        <v>50</v>
      </c>
      <c r="F73">
        <v>0</v>
      </c>
      <c r="G73" t="str">
        <v>Cash</v>
      </c>
      <c r="H73" t="str">
        <v>Tue Mar 10 2026</v>
      </c>
      <c r="I73" t="str">
        <v>Thu Mar 12 2026</v>
      </c>
    </row>
    <row r="74">
      <c r="A74">
        <v>1928</v>
      </c>
      <c r="B74" t="str">
        <v xml:space="preserve">Sushma Kapur </v>
      </c>
      <c r="C74" t="str">
        <v>Female</v>
      </c>
      <c r="D74">
        <v>50</v>
      </c>
      <c r="E74">
        <v>0</v>
      </c>
      <c r="F74">
        <v>50</v>
      </c>
      <c r="G74" t="str">
        <v>Cash</v>
      </c>
      <c r="H74" t="str">
        <v>Tue Dec 02 2025</v>
      </c>
      <c r="I74" t="str">
        <v>Thu Mar 12 2026</v>
      </c>
    </row>
    <row r="75">
      <c r="A75">
        <v>2030</v>
      </c>
      <c r="B75" t="str">
        <v xml:space="preserve">Subhash Kapoor </v>
      </c>
      <c r="C75" t="str">
        <v>Male</v>
      </c>
      <c r="D75">
        <v>50</v>
      </c>
      <c r="E75">
        <v>0</v>
      </c>
      <c r="F75">
        <v>50</v>
      </c>
      <c r="G75" t="str">
        <v>Cash</v>
      </c>
      <c r="H75" t="str">
        <v>Mon Dec 15 2025</v>
      </c>
      <c r="I75" t="str">
        <v>Thu Mar 12 2026</v>
      </c>
    </row>
    <row r="76">
      <c r="A76">
        <v>2604</v>
      </c>
      <c r="B76" t="str">
        <v xml:space="preserve">Laxmi Bhanopia </v>
      </c>
      <c r="C76" t="str">
        <v>Female</v>
      </c>
      <c r="D76">
        <v>50</v>
      </c>
      <c r="E76">
        <v>50</v>
      </c>
      <c r="F76">
        <v>0</v>
      </c>
      <c r="G76" t="str">
        <v>Cash</v>
      </c>
      <c r="H76" t="str">
        <v>Sat Feb 28 2026</v>
      </c>
      <c r="I76" t="str">
        <v>Thu Mar 12 2026</v>
      </c>
    </row>
    <row r="77">
      <c r="A77">
        <v>2592</v>
      </c>
      <c r="B77" t="str">
        <v xml:space="preserve">Tripti Yadav </v>
      </c>
      <c r="C77" t="str">
        <v>Female</v>
      </c>
      <c r="D77">
        <v>50</v>
      </c>
      <c r="E77">
        <v>50</v>
      </c>
      <c r="F77">
        <v>0</v>
      </c>
      <c r="G77" t="str">
        <v>Cash</v>
      </c>
      <c r="H77" t="str">
        <v>Thu Feb 26 2026</v>
      </c>
      <c r="I77" t="str">
        <v>Thu Mar 12 2026</v>
      </c>
    </row>
    <row r="78">
      <c r="A78">
        <v>2642</v>
      </c>
      <c r="B78" t="str">
        <v>Iti Jain</v>
      </c>
      <c r="C78" t="str">
        <v>Female</v>
      </c>
      <c r="D78">
        <v>50</v>
      </c>
      <c r="E78">
        <v>50</v>
      </c>
      <c r="F78">
        <v>0</v>
      </c>
      <c r="G78" t="str">
        <v>UPI</v>
      </c>
      <c r="H78" t="str">
        <v>Fri Mar 06 2026</v>
      </c>
      <c r="I78" t="str">
        <v>Thu Mar 12 2026</v>
      </c>
    </row>
    <row r="79">
      <c r="A79">
        <v>2684</v>
      </c>
      <c r="B79" t="str">
        <v xml:space="preserve">Pooja nariya </v>
      </c>
      <c r="C79" t="str">
        <v>Female</v>
      </c>
      <c r="D79">
        <v>50</v>
      </c>
      <c r="E79">
        <v>50</v>
      </c>
      <c r="F79">
        <v>0</v>
      </c>
      <c r="G79" t="str">
        <v>UPI</v>
      </c>
      <c r="H79" t="str">
        <v>Wed Mar 11 2026</v>
      </c>
      <c r="I79" t="str">
        <v>Thu Mar 12 2026</v>
      </c>
    </row>
  </sheetData>
  <ignoredErrors>
    <ignoredError numberStoredAsText="1" sqref="A1:N7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78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Wed Mar 11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SUM(D10:D78)</f>
      </c>
      <c r="B7" t="e">
        <f t="array" ref="B7">SUM(E10:E78)</f>
      </c>
      <c r="C7" t="e">
        <f t="array" ref="C7">SUMIF(G10:G78, "Cash", E10:E78)</f>
      </c>
      <c r="D7" t="e">
        <f t="array" ref="D7">SUMIF(G10:G78, "UPI", E10:E78)</f>
      </c>
      <c r="E7" t="e">
        <f t="array" ref="E7">COUNTA(G10:G78)</f>
      </c>
      <c r="F7" t="e">
        <f t="array" ref="F7">COUNTIF(G10:G78, "Cash")</f>
      </c>
      <c r="G7" t="e">
        <f t="array" ref="G7">COUNTIF(G10:G78, "UPI")</f>
      </c>
      <c r="H7" t="e">
        <f t="array" ref="H7">SUM(F10:F78)</f>
      </c>
      <c r="I7" t="e">
        <f t="array" ref="I7">COUNT(FILTER(F10:F78, F10:F78=D10:D78))</f>
      </c>
      <c r="J7" t="e">
        <f t="array" ref="J7">IFERROR(ROWS(UNIQUE(FILTER(A10:A78,C10:C78="Male"))),0)</f>
      </c>
      <c r="K7" t="e">
        <f t="array" ref="K7">IFERROR(ROWS(UNIQUE(FILTER(A10:A78,C10:C78="Female"))),0)</f>
      </c>
      <c r="L7" t="e">
        <f t="array" ref="L7">IFERROR(ROWS(UNIQUE(FILTER(A10:A78,H10:H78=I10))),0)</f>
      </c>
      <c r="M7" t="e">
        <f t="array" ref="M7">IFERROR(ROWS(UNIQUE(FILTER(A10:A78,H10:H78&lt;&gt;I10))),0)</f>
      </c>
      <c r="N7" t="e">
        <f t="array" ref="N7">IFERROR(ROWS(UNIQUE(A10:A78)),0)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1917</v>
      </c>
      <c r="B10" t="str">
        <v xml:space="preserve">Ramesh Sharma 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Mon Dec 01 2025</v>
      </c>
      <c r="I10" t="str">
        <v>Wed Mar 11 2026</v>
      </c>
    </row>
    <row r="11">
      <c r="A11">
        <v>2674</v>
      </c>
      <c r="B11" t="str">
        <v xml:space="preserve">Mira Sharma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Tue Mar 10 2026</v>
      </c>
      <c r="I11" t="str">
        <v>Wed Mar 11 2026</v>
      </c>
    </row>
    <row r="12">
      <c r="A12">
        <v>2667</v>
      </c>
      <c r="B12" t="str">
        <v xml:space="preserve">Abhishek Yadav 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Mon Mar 09 2026</v>
      </c>
      <c r="I12" t="str">
        <v>Wed Mar 11 2026</v>
      </c>
    </row>
    <row r="13">
      <c r="A13">
        <v>2662</v>
      </c>
      <c r="B13" t="str">
        <v xml:space="preserve">Gajendra Khare 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Mon Mar 09 2026</v>
      </c>
      <c r="I13" t="str">
        <v>Wed Mar 11 2026</v>
      </c>
    </row>
    <row r="14">
      <c r="A14">
        <v>2661</v>
      </c>
      <c r="B14" t="str">
        <v xml:space="preserve">Manish Pancholi </v>
      </c>
      <c r="C14" t="str">
        <v>Male</v>
      </c>
      <c r="D14">
        <v>50</v>
      </c>
      <c r="E14">
        <v>50</v>
      </c>
      <c r="F14">
        <v>0</v>
      </c>
      <c r="G14" t="str">
        <v>UPI</v>
      </c>
      <c r="H14" t="str">
        <v>Mon Mar 09 2026</v>
      </c>
      <c r="I14" t="str">
        <v>Wed Mar 11 2026</v>
      </c>
    </row>
    <row r="15">
      <c r="A15">
        <v>2245</v>
      </c>
      <c r="B15" t="str">
        <v xml:space="preserve">Sachin Varma </v>
      </c>
      <c r="C15" t="str">
        <v>Male</v>
      </c>
      <c r="D15">
        <v>50</v>
      </c>
      <c r="E15">
        <v>50</v>
      </c>
      <c r="F15">
        <v>0</v>
      </c>
      <c r="G15" t="str">
        <v>UPI</v>
      </c>
      <c r="H15" t="str">
        <v>Fri Jan 16 2026</v>
      </c>
      <c r="I15" t="str">
        <v>Wed Mar 11 2026</v>
      </c>
    </row>
    <row r="16">
      <c r="A16">
        <v>2651</v>
      </c>
      <c r="B16" t="str">
        <v xml:space="preserve">Sarika Varma </v>
      </c>
      <c r="C16" t="str">
        <v>Female</v>
      </c>
      <c r="D16">
        <v>50</v>
      </c>
      <c r="E16">
        <v>50</v>
      </c>
      <c r="F16">
        <v>0</v>
      </c>
      <c r="G16" t="str">
        <v>UPI</v>
      </c>
      <c r="H16" t="str">
        <v>Sat Mar 07 2026</v>
      </c>
      <c r="I16" t="str">
        <v>Wed Mar 11 2026</v>
      </c>
    </row>
    <row r="17">
      <c r="A17">
        <v>2412</v>
      </c>
      <c r="B17" t="str">
        <v xml:space="preserve">Kamini Agrawal </v>
      </c>
      <c r="C17" t="str">
        <v>Female</v>
      </c>
      <c r="D17">
        <v>50</v>
      </c>
      <c r="E17">
        <v>50</v>
      </c>
      <c r="F17">
        <v>0</v>
      </c>
      <c r="G17" t="str">
        <v>Cash</v>
      </c>
      <c r="H17" t="str">
        <v>Thu Feb 05 2026</v>
      </c>
      <c r="I17" t="str">
        <v>Wed Mar 11 2026</v>
      </c>
    </row>
    <row r="18">
      <c r="A18">
        <v>2413</v>
      </c>
      <c r="B18" t="str">
        <v xml:space="preserve">Kailash Agrawal </v>
      </c>
      <c r="C18" t="str">
        <v>Male</v>
      </c>
      <c r="D18">
        <v>70</v>
      </c>
      <c r="E18">
        <v>70</v>
      </c>
      <c r="F18">
        <v>0</v>
      </c>
      <c r="G18" t="str">
        <v>Cash</v>
      </c>
      <c r="H18" t="str">
        <v>Thu Feb 05 2026</v>
      </c>
      <c r="I18" t="str">
        <v>Wed Mar 11 2026</v>
      </c>
    </row>
    <row r="19">
      <c r="A19">
        <v>2678</v>
      </c>
      <c r="B19" t="str">
        <v>Mangesh Rai</v>
      </c>
      <c r="C19" t="str">
        <v>Male</v>
      </c>
      <c r="D19">
        <v>50</v>
      </c>
      <c r="E19">
        <v>50</v>
      </c>
      <c r="F19">
        <v>0</v>
      </c>
      <c r="G19" t="str">
        <v>Cash</v>
      </c>
      <c r="H19" t="str">
        <v>Tue Mar 10 2026</v>
      </c>
      <c r="I19" t="str">
        <v>Wed Mar 11 2026</v>
      </c>
    </row>
    <row r="20">
      <c r="A20">
        <v>2499</v>
      </c>
      <c r="B20" t="str">
        <v xml:space="preserve">Ramesh Chandra 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Sat Feb 14 2026</v>
      </c>
      <c r="I20" t="str">
        <v>Wed Mar 11 2026</v>
      </c>
    </row>
    <row r="21">
      <c r="A21">
        <v>2624</v>
      </c>
      <c r="B21" t="str">
        <v xml:space="preserve">Mukesh Chauhan </v>
      </c>
      <c r="C21" t="str">
        <v>Male</v>
      </c>
      <c r="D21">
        <v>50</v>
      </c>
      <c r="E21">
        <v>50</v>
      </c>
      <c r="F21">
        <v>0</v>
      </c>
      <c r="G21" t="str">
        <v>UPI</v>
      </c>
      <c r="H21" t="str">
        <v>Thu Mar 05 2026</v>
      </c>
      <c r="I21" t="str">
        <v>Wed Mar 11 2026</v>
      </c>
    </row>
    <row r="22">
      <c r="A22">
        <v>2471</v>
      </c>
      <c r="B22" t="str">
        <v>Ashwini Gundigawkar</v>
      </c>
      <c r="C22" t="str">
        <v>Female</v>
      </c>
      <c r="D22">
        <v>50</v>
      </c>
      <c r="E22">
        <v>50</v>
      </c>
      <c r="F22">
        <v>0</v>
      </c>
      <c r="G22" t="str">
        <v>Cash</v>
      </c>
      <c r="H22" t="str">
        <v>Wed Feb 11 2026</v>
      </c>
      <c r="I22" t="str">
        <v>Wed Mar 11 2026</v>
      </c>
    </row>
    <row r="23">
      <c r="A23">
        <v>996</v>
      </c>
      <c r="B23" t="str">
        <v>Sarita Rathor</v>
      </c>
      <c r="C23" t="str">
        <v>Female</v>
      </c>
      <c r="D23">
        <v>50</v>
      </c>
      <c r="E23">
        <v>0</v>
      </c>
      <c r="F23">
        <v>50</v>
      </c>
      <c r="G23" t="str">
        <v>Cash</v>
      </c>
      <c r="H23" t="str">
        <v>Sat Jul 19 2025</v>
      </c>
      <c r="I23" t="str">
        <v>Wed Mar 11 2026</v>
      </c>
    </row>
    <row r="24">
      <c r="A24">
        <v>1437</v>
      </c>
      <c r="B24" t="str">
        <v>Suraj Dharve</v>
      </c>
      <c r="C24" t="str">
        <v>Female</v>
      </c>
      <c r="D24">
        <v>50</v>
      </c>
      <c r="E24">
        <v>0</v>
      </c>
      <c r="F24">
        <v>50</v>
      </c>
      <c r="G24" t="str">
        <v>Cash</v>
      </c>
      <c r="H24" t="str">
        <v>Fri Sep 19 2025</v>
      </c>
      <c r="I24" t="str">
        <v>Wed Mar 11 2026</v>
      </c>
    </row>
    <row r="25">
      <c r="A25">
        <v>2677</v>
      </c>
      <c r="B25" t="str">
        <v>Vibha Godha</v>
      </c>
      <c r="C25" t="str">
        <v>Female</v>
      </c>
      <c r="D25">
        <v>50</v>
      </c>
      <c r="E25">
        <v>50</v>
      </c>
      <c r="F25">
        <v>0</v>
      </c>
      <c r="G25" t="str">
        <v>Cash</v>
      </c>
      <c r="H25" t="str">
        <v>Tue Mar 10 2026</v>
      </c>
      <c r="I25" t="str">
        <v>Wed Mar 11 2026</v>
      </c>
    </row>
    <row r="26">
      <c r="A26">
        <v>2623</v>
      </c>
      <c r="B26" t="str">
        <v xml:space="preserve">Priti Kashyap </v>
      </c>
      <c r="C26" t="str">
        <v>Female</v>
      </c>
      <c r="D26">
        <v>50</v>
      </c>
      <c r="E26">
        <v>50</v>
      </c>
      <c r="F26">
        <v>0</v>
      </c>
      <c r="G26" t="str">
        <v>Cash</v>
      </c>
      <c r="H26" t="str">
        <v>Thu Mar 05 2026</v>
      </c>
      <c r="I26" t="str">
        <v>Wed Mar 11 2026</v>
      </c>
    </row>
    <row r="27">
      <c r="A27">
        <v>2289</v>
      </c>
      <c r="B27" t="str">
        <v xml:space="preserve">Jaibir Singh </v>
      </c>
      <c r="C27" t="str">
        <v>Male</v>
      </c>
      <c r="D27">
        <v>50</v>
      </c>
      <c r="E27">
        <v>50</v>
      </c>
      <c r="F27">
        <v>0</v>
      </c>
      <c r="G27" t="str">
        <v>Cash</v>
      </c>
      <c r="H27" t="str">
        <v>Tue Jan 20 2026</v>
      </c>
      <c r="I27" t="str">
        <v>Wed Mar 11 2026</v>
      </c>
    </row>
    <row r="28">
      <c r="A28">
        <v>2638</v>
      </c>
      <c r="B28" t="str">
        <v xml:space="preserve">Kamalchand </v>
      </c>
      <c r="C28" t="str">
        <v>Male</v>
      </c>
      <c r="D28">
        <v>50</v>
      </c>
      <c r="E28">
        <v>50</v>
      </c>
      <c r="F28">
        <v>0</v>
      </c>
      <c r="G28" t="str">
        <v>Cash</v>
      </c>
      <c r="H28" t="str">
        <v>Fri Mar 06 2026</v>
      </c>
      <c r="I28" t="str">
        <v>Wed Mar 11 2026</v>
      </c>
    </row>
    <row r="29">
      <c r="A29">
        <v>2675</v>
      </c>
      <c r="B29" t="str">
        <v xml:space="preserve">Manoj Tomar </v>
      </c>
      <c r="C29" t="str">
        <v>Male</v>
      </c>
      <c r="D29">
        <v>50</v>
      </c>
      <c r="E29">
        <v>50</v>
      </c>
      <c r="F29">
        <v>0</v>
      </c>
      <c r="G29" t="str">
        <v>Cash</v>
      </c>
      <c r="H29" t="str">
        <v>Tue Mar 10 2026</v>
      </c>
      <c r="I29" t="str">
        <v>Wed Mar 11 2026</v>
      </c>
    </row>
    <row r="30">
      <c r="A30">
        <v>2577</v>
      </c>
      <c r="B30" t="str">
        <v xml:space="preserve">Sunita Gupta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Wed Feb 25 2026</v>
      </c>
      <c r="I30" t="str">
        <v>Wed Mar 11 2026</v>
      </c>
    </row>
    <row r="31">
      <c r="A31">
        <v>2683</v>
      </c>
      <c r="B31" t="str">
        <v>Bindu Ojha</v>
      </c>
      <c r="C31" t="str">
        <v>Female</v>
      </c>
      <c r="D31">
        <v>110</v>
      </c>
      <c r="E31">
        <v>110</v>
      </c>
      <c r="F31">
        <v>0</v>
      </c>
      <c r="G31" t="str">
        <v>Cash</v>
      </c>
      <c r="H31" t="str">
        <v>Wed Mar 11 2026</v>
      </c>
      <c r="I31" t="str">
        <v>Wed Mar 11 2026</v>
      </c>
    </row>
    <row r="32">
      <c r="A32">
        <v>2544</v>
      </c>
      <c r="B32" t="str">
        <v>Nitin singh</v>
      </c>
      <c r="C32" t="str">
        <v>Male</v>
      </c>
      <c r="D32">
        <v>50</v>
      </c>
      <c r="E32">
        <v>50</v>
      </c>
      <c r="F32">
        <v>0</v>
      </c>
      <c r="G32" t="str">
        <v>Cash</v>
      </c>
      <c r="H32" t="str">
        <v>Mon Feb 23 2026</v>
      </c>
      <c r="I32" t="str">
        <v>Wed Mar 11 2026</v>
      </c>
    </row>
    <row r="33">
      <c r="A33">
        <v>2584</v>
      </c>
      <c r="B33" t="str">
        <v xml:space="preserve">Lokesh Raghuvanshi </v>
      </c>
      <c r="C33" t="str">
        <v>Male</v>
      </c>
      <c r="D33">
        <v>70</v>
      </c>
      <c r="E33">
        <v>70</v>
      </c>
      <c r="F33">
        <v>0</v>
      </c>
      <c r="G33" t="str">
        <v>UPI</v>
      </c>
      <c r="H33" t="str">
        <v>Thu Feb 26 2026</v>
      </c>
      <c r="I33" t="str">
        <v>Wed Mar 11 2026</v>
      </c>
    </row>
    <row r="34">
      <c r="A34">
        <v>2656</v>
      </c>
      <c r="B34" t="str">
        <v xml:space="preserve">Aashish Verma </v>
      </c>
      <c r="C34" t="str">
        <v>Male</v>
      </c>
      <c r="D34">
        <v>50</v>
      </c>
      <c r="E34">
        <v>50</v>
      </c>
      <c r="F34">
        <v>0</v>
      </c>
      <c r="G34" t="str">
        <v>Cash</v>
      </c>
      <c r="H34" t="str">
        <v>Sat Mar 07 2026</v>
      </c>
      <c r="I34" t="str">
        <v>Wed Mar 11 2026</v>
      </c>
    </row>
    <row r="35">
      <c r="A35">
        <v>2619</v>
      </c>
      <c r="B35" t="str">
        <v>Kailash Mathur</v>
      </c>
      <c r="C35" t="str">
        <v>Male</v>
      </c>
      <c r="D35">
        <v>50</v>
      </c>
      <c r="E35">
        <v>50</v>
      </c>
      <c r="F35">
        <v>0</v>
      </c>
      <c r="G35" t="str">
        <v>Cash</v>
      </c>
      <c r="H35" t="str">
        <v>Tue Mar 03 2026</v>
      </c>
      <c r="I35" t="str">
        <v>Wed Mar 11 2026</v>
      </c>
    </row>
    <row r="36">
      <c r="A36">
        <v>2451</v>
      </c>
      <c r="B36" t="str">
        <v xml:space="preserve">Prakash Joshi </v>
      </c>
      <c r="C36" t="str">
        <v>Male</v>
      </c>
      <c r="D36">
        <v>70</v>
      </c>
      <c r="E36">
        <v>70</v>
      </c>
      <c r="F36">
        <v>0</v>
      </c>
      <c r="G36" t="str">
        <v>Cash</v>
      </c>
      <c r="H36" t="str">
        <v>Mon Feb 09 2026</v>
      </c>
      <c r="I36" t="str">
        <v>Wed Mar 11 2026</v>
      </c>
    </row>
    <row r="37">
      <c r="A37">
        <v>2569</v>
      </c>
      <c r="B37" t="str">
        <v>Suresh Malvi</v>
      </c>
      <c r="C37" t="str">
        <v>Male</v>
      </c>
      <c r="D37">
        <v>50</v>
      </c>
      <c r="E37">
        <v>50</v>
      </c>
      <c r="F37">
        <v>0</v>
      </c>
      <c r="G37" t="str">
        <v>Cash</v>
      </c>
      <c r="H37" t="str">
        <v>Tue Feb 24 2026</v>
      </c>
      <c r="I37" t="str">
        <v>Wed Mar 11 2026</v>
      </c>
    </row>
    <row r="38">
      <c r="A38">
        <v>2672</v>
      </c>
      <c r="B38" t="str">
        <v xml:space="preserve">Pravin Vaishnav </v>
      </c>
      <c r="C38" t="str">
        <v>Male</v>
      </c>
      <c r="D38">
        <v>50</v>
      </c>
      <c r="E38">
        <v>50</v>
      </c>
      <c r="F38">
        <v>0</v>
      </c>
      <c r="G38" t="str">
        <v>UPI</v>
      </c>
      <c r="H38" t="str">
        <v>Mon Mar 09 2026</v>
      </c>
      <c r="I38" t="str">
        <v>Wed Mar 11 2026</v>
      </c>
    </row>
    <row r="39">
      <c r="A39">
        <v>2668</v>
      </c>
      <c r="B39" t="str">
        <v xml:space="preserve">Rishab Tiwari </v>
      </c>
      <c r="C39" t="str">
        <v>Male</v>
      </c>
      <c r="D39">
        <v>50</v>
      </c>
      <c r="E39">
        <v>50</v>
      </c>
      <c r="F39">
        <v>0</v>
      </c>
      <c r="G39" t="str">
        <v>Cash</v>
      </c>
      <c r="H39" t="str">
        <v>Mon Mar 09 2026</v>
      </c>
      <c r="I39" t="str">
        <v>Wed Mar 11 2026</v>
      </c>
    </row>
    <row r="40">
      <c r="A40">
        <v>2614</v>
      </c>
      <c r="B40" t="str">
        <v xml:space="preserve">Sushma Morya </v>
      </c>
      <c r="C40" t="str">
        <v>Female</v>
      </c>
      <c r="D40">
        <v>50</v>
      </c>
      <c r="E40">
        <v>50</v>
      </c>
      <c r="F40">
        <v>0</v>
      </c>
      <c r="G40" t="str">
        <v>Cash</v>
      </c>
      <c r="H40" t="str">
        <v>Mon Mar 02 2026</v>
      </c>
      <c r="I40" t="str">
        <v>Wed Mar 11 2026</v>
      </c>
    </row>
    <row r="41">
      <c r="A41">
        <v>2452</v>
      </c>
      <c r="B41" t="str">
        <v xml:space="preserve">B. S. Rajput </v>
      </c>
      <c r="C41" t="str">
        <v>Male</v>
      </c>
      <c r="D41">
        <v>50</v>
      </c>
      <c r="E41">
        <v>50</v>
      </c>
      <c r="F41">
        <v>0</v>
      </c>
      <c r="G41" t="str">
        <v>Cash</v>
      </c>
      <c r="H41" t="str">
        <v>Mon Feb 09 2026</v>
      </c>
      <c r="I41" t="str">
        <v>Wed Mar 11 2026</v>
      </c>
    </row>
    <row r="42">
      <c r="A42">
        <v>2676</v>
      </c>
      <c r="B42" t="str">
        <v xml:space="preserve">Savita Soni 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Tue Mar 10 2026</v>
      </c>
      <c r="I42" t="str">
        <v>Wed Mar 11 2026</v>
      </c>
    </row>
    <row r="43">
      <c r="A43">
        <v>2633</v>
      </c>
      <c r="B43" t="str">
        <v xml:space="preserve">Resham Baghel </v>
      </c>
      <c r="C43" t="str">
        <v>Female</v>
      </c>
      <c r="D43">
        <v>50</v>
      </c>
      <c r="E43">
        <v>50</v>
      </c>
      <c r="F43">
        <v>0</v>
      </c>
      <c r="G43" t="str">
        <v>Cash</v>
      </c>
      <c r="H43" t="str">
        <v>Thu Mar 05 2026</v>
      </c>
      <c r="I43" t="str">
        <v>Wed Mar 11 2026</v>
      </c>
    </row>
    <row r="44">
      <c r="A44">
        <v>2669</v>
      </c>
      <c r="B44" t="str">
        <v>Jay Prakash Diya</v>
      </c>
      <c r="C44" t="str">
        <v>Male</v>
      </c>
      <c r="D44">
        <v>50</v>
      </c>
      <c r="E44">
        <v>50</v>
      </c>
      <c r="F44">
        <v>0</v>
      </c>
      <c r="G44" t="str">
        <v>UPI</v>
      </c>
      <c r="H44" t="str">
        <v>Mon Mar 09 2026</v>
      </c>
      <c r="I44" t="str">
        <v>Wed Mar 11 2026</v>
      </c>
    </row>
    <row r="45">
      <c r="A45">
        <v>2652</v>
      </c>
      <c r="B45" t="str">
        <v xml:space="preserve">Ganesh Patel </v>
      </c>
      <c r="C45" t="str">
        <v>Male</v>
      </c>
      <c r="D45">
        <v>50</v>
      </c>
      <c r="E45">
        <v>50</v>
      </c>
      <c r="F45">
        <v>0</v>
      </c>
      <c r="G45" t="str">
        <v>Cash</v>
      </c>
      <c r="H45" t="str">
        <v>Sat Mar 07 2026</v>
      </c>
      <c r="I45" t="str">
        <v>Wed Mar 11 2026</v>
      </c>
    </row>
    <row r="46">
      <c r="A46">
        <v>2655</v>
      </c>
      <c r="B46" t="str">
        <v xml:space="preserve">Abhishek Dubey </v>
      </c>
      <c r="C46" t="str">
        <v>Male</v>
      </c>
      <c r="D46">
        <v>50</v>
      </c>
      <c r="E46">
        <v>50</v>
      </c>
      <c r="F46">
        <v>0</v>
      </c>
      <c r="G46" t="str">
        <v>UPI</v>
      </c>
      <c r="H46" t="str">
        <v>Sat Mar 07 2026</v>
      </c>
      <c r="I46" t="str">
        <v>Wed Mar 11 2026</v>
      </c>
    </row>
    <row r="47">
      <c r="A47">
        <v>2588</v>
      </c>
      <c r="B47" t="str">
        <v>Krishna varma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Thu Feb 26 2026</v>
      </c>
      <c r="I47" t="str">
        <v>Wed Mar 11 2026</v>
      </c>
    </row>
    <row r="48">
      <c r="A48">
        <v>2646</v>
      </c>
      <c r="B48" t="str">
        <v xml:space="preserve">Mira Varma </v>
      </c>
      <c r="C48" t="str">
        <v>Female</v>
      </c>
      <c r="D48">
        <v>50</v>
      </c>
      <c r="E48">
        <v>50</v>
      </c>
      <c r="F48">
        <v>0</v>
      </c>
      <c r="G48" t="str">
        <v>Cash</v>
      </c>
      <c r="H48" t="str">
        <v>Fri Mar 06 2026</v>
      </c>
      <c r="I48" t="str">
        <v>Wed Mar 11 2026</v>
      </c>
    </row>
    <row r="49">
      <c r="A49">
        <v>2524</v>
      </c>
      <c r="B49" t="str">
        <v xml:space="preserve">Govind Gupta </v>
      </c>
      <c r="C49" t="str">
        <v>Male</v>
      </c>
      <c r="D49">
        <v>50</v>
      </c>
      <c r="E49">
        <v>50</v>
      </c>
      <c r="F49">
        <v>0</v>
      </c>
      <c r="G49" t="str">
        <v>Cash</v>
      </c>
      <c r="H49" t="str">
        <v>Wed Feb 18 2026</v>
      </c>
      <c r="I49" t="str">
        <v>Wed Mar 11 2026</v>
      </c>
    </row>
    <row r="50">
      <c r="A50">
        <v>2654</v>
      </c>
      <c r="B50" t="str">
        <v xml:space="preserve">Kavita Pawar 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Sat Mar 07 2026</v>
      </c>
      <c r="I50" t="str">
        <v>Wed Mar 11 2026</v>
      </c>
    </row>
    <row r="51">
      <c r="A51">
        <v>2629</v>
      </c>
      <c r="B51" t="str">
        <v>Surjit Adak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Thu Mar 05 2026</v>
      </c>
      <c r="I51" t="str">
        <v>Wed Mar 11 2026</v>
      </c>
    </row>
    <row r="52">
      <c r="A52">
        <v>2565</v>
      </c>
      <c r="B52" t="str">
        <v xml:space="preserve">Sadhana Pateriya </v>
      </c>
      <c r="C52" t="str">
        <v>Female</v>
      </c>
      <c r="D52">
        <v>70</v>
      </c>
      <c r="E52">
        <v>70</v>
      </c>
      <c r="F52">
        <v>0</v>
      </c>
      <c r="G52" t="str">
        <v>Cash</v>
      </c>
      <c r="H52" t="str">
        <v>Tue Feb 24 2026</v>
      </c>
      <c r="I52" t="str">
        <v>Wed Mar 11 2026</v>
      </c>
    </row>
    <row r="53">
      <c r="A53">
        <v>2684</v>
      </c>
      <c r="B53" t="str">
        <v xml:space="preserve">Pooja nariya </v>
      </c>
      <c r="C53" t="str">
        <v>Female</v>
      </c>
      <c r="D53">
        <v>110</v>
      </c>
      <c r="E53">
        <v>110</v>
      </c>
      <c r="F53">
        <v>0</v>
      </c>
      <c r="G53" t="str">
        <v>UPI</v>
      </c>
      <c r="H53" t="str">
        <v>Wed Mar 11 2026</v>
      </c>
      <c r="I53" t="str">
        <v>Wed Mar 11 2026</v>
      </c>
    </row>
    <row r="54">
      <c r="A54">
        <v>2666</v>
      </c>
      <c r="B54" t="str">
        <v>Bharti Bhomik</v>
      </c>
      <c r="C54" t="str">
        <v>Female</v>
      </c>
      <c r="D54">
        <v>50</v>
      </c>
      <c r="E54">
        <v>50</v>
      </c>
      <c r="F54">
        <v>0</v>
      </c>
      <c r="G54" t="str">
        <v>Cash</v>
      </c>
      <c r="H54" t="str">
        <v>Mon Mar 09 2026</v>
      </c>
      <c r="I54" t="str">
        <v>Wed Mar 11 2026</v>
      </c>
    </row>
    <row r="55">
      <c r="A55">
        <v>2625</v>
      </c>
      <c r="B55" t="str">
        <v>Vijay khetan</v>
      </c>
      <c r="C55" t="str">
        <v>Male</v>
      </c>
      <c r="D55">
        <v>50</v>
      </c>
      <c r="E55">
        <v>50</v>
      </c>
      <c r="F55">
        <v>0</v>
      </c>
      <c r="G55" t="str">
        <v>Cash</v>
      </c>
      <c r="H55" t="str">
        <v>Thu Mar 05 2026</v>
      </c>
      <c r="I55" t="str">
        <v>Wed Mar 11 2026</v>
      </c>
    </row>
    <row r="56">
      <c r="A56">
        <v>2498</v>
      </c>
      <c r="B56" t="str">
        <v>Shanti Saad</v>
      </c>
      <c r="C56" t="str">
        <v>Female</v>
      </c>
      <c r="D56">
        <v>50</v>
      </c>
      <c r="E56">
        <v>50</v>
      </c>
      <c r="F56">
        <v>0</v>
      </c>
      <c r="G56" t="str">
        <v>UPI</v>
      </c>
      <c r="H56" t="str">
        <v>Sat Feb 14 2026</v>
      </c>
      <c r="I56" t="str">
        <v>Wed Mar 11 2026</v>
      </c>
    </row>
    <row r="57">
      <c r="A57">
        <v>2665</v>
      </c>
      <c r="B57" t="str">
        <v xml:space="preserve">Harish Mishra </v>
      </c>
      <c r="C57" t="str">
        <v>Male</v>
      </c>
      <c r="D57">
        <v>50</v>
      </c>
      <c r="E57">
        <v>50</v>
      </c>
      <c r="F57">
        <v>0</v>
      </c>
      <c r="G57" t="str">
        <v>Cash</v>
      </c>
      <c r="H57" t="str">
        <v>Mon Mar 09 2026</v>
      </c>
      <c r="I57" t="str">
        <v>Wed Mar 11 2026</v>
      </c>
    </row>
    <row r="58">
      <c r="A58">
        <v>2670</v>
      </c>
      <c r="B58" t="str">
        <v>Manjulata Aragwal</v>
      </c>
      <c r="C58" t="str">
        <v>Female</v>
      </c>
      <c r="D58">
        <v>50</v>
      </c>
      <c r="E58">
        <v>50</v>
      </c>
      <c r="F58">
        <v>0</v>
      </c>
      <c r="G58" t="str">
        <v>Cash</v>
      </c>
      <c r="H58" t="str">
        <v>Mon Mar 09 2026</v>
      </c>
      <c r="I58" t="str">
        <v>Wed Mar 11 2026</v>
      </c>
    </row>
    <row r="59">
      <c r="A59">
        <v>2671</v>
      </c>
      <c r="B59" t="str">
        <v xml:space="preserve">Omprakash Agrawal </v>
      </c>
      <c r="C59" t="str">
        <v>Male</v>
      </c>
      <c r="D59">
        <v>50</v>
      </c>
      <c r="E59">
        <v>50</v>
      </c>
      <c r="F59">
        <v>0</v>
      </c>
      <c r="G59" t="str">
        <v>Cash</v>
      </c>
      <c r="H59" t="str">
        <v>Mon Mar 09 2026</v>
      </c>
      <c r="I59" t="str">
        <v>Wed Mar 11 2026</v>
      </c>
    </row>
    <row r="60">
      <c r="A60">
        <v>2606</v>
      </c>
      <c r="B60" t="str">
        <v xml:space="preserve">Subhash Porwal </v>
      </c>
      <c r="C60" t="str">
        <v>Male</v>
      </c>
      <c r="D60">
        <v>50</v>
      </c>
      <c r="E60">
        <v>50</v>
      </c>
      <c r="F60">
        <v>0</v>
      </c>
      <c r="G60" t="str">
        <v>Cash</v>
      </c>
      <c r="H60" t="str">
        <v>Sat Feb 28 2026</v>
      </c>
      <c r="I60" t="str">
        <v>Wed Mar 11 2026</v>
      </c>
    </row>
    <row r="61">
      <c r="A61">
        <v>2682</v>
      </c>
      <c r="B61" t="str">
        <v xml:space="preserve">Munni Goyal </v>
      </c>
      <c r="C61" t="str">
        <v>Female</v>
      </c>
      <c r="D61">
        <v>70</v>
      </c>
      <c r="E61">
        <v>70</v>
      </c>
      <c r="F61">
        <v>0</v>
      </c>
      <c r="G61" t="str">
        <v>Cash</v>
      </c>
      <c r="H61" t="str">
        <v>Tue Mar 10 2026</v>
      </c>
      <c r="I61" t="str">
        <v>Wed Mar 11 2026</v>
      </c>
    </row>
    <row r="62">
      <c r="A62">
        <v>2456</v>
      </c>
      <c r="B62" t="str">
        <v xml:space="preserve">D. P. Goyal </v>
      </c>
      <c r="C62" t="str">
        <v>Male</v>
      </c>
      <c r="D62">
        <v>50</v>
      </c>
      <c r="E62">
        <v>50</v>
      </c>
      <c r="F62">
        <v>0</v>
      </c>
      <c r="G62" t="str">
        <v>Cash</v>
      </c>
      <c r="H62" t="str">
        <v>Mon Feb 09 2026</v>
      </c>
      <c r="I62" t="str">
        <v>Wed Mar 11 2026</v>
      </c>
    </row>
    <row r="63">
      <c r="A63">
        <v>2644</v>
      </c>
      <c r="B63" t="str">
        <v>Laxmi Sambhariya</v>
      </c>
      <c r="C63" t="str">
        <v>Female</v>
      </c>
      <c r="D63">
        <v>50</v>
      </c>
      <c r="E63">
        <v>50</v>
      </c>
      <c r="F63">
        <v>0</v>
      </c>
      <c r="G63" t="str">
        <v>Cash</v>
      </c>
      <c r="H63" t="str">
        <v>Fri Mar 06 2026</v>
      </c>
      <c r="I63" t="str">
        <v>Wed Mar 11 2026</v>
      </c>
    </row>
    <row r="64">
      <c r="A64">
        <v>2538</v>
      </c>
      <c r="B64" t="str">
        <v>Sunil Sasane</v>
      </c>
      <c r="C64" t="str">
        <v>Male</v>
      </c>
      <c r="D64">
        <v>50</v>
      </c>
      <c r="E64">
        <v>50</v>
      </c>
      <c r="F64">
        <v>0</v>
      </c>
      <c r="G64" t="str">
        <v>Cash</v>
      </c>
      <c r="H64" t="str">
        <v>Sat Feb 21 2026</v>
      </c>
      <c r="I64" t="str">
        <v>Wed Mar 11 2026</v>
      </c>
    </row>
    <row r="65">
      <c r="A65">
        <v>1928</v>
      </c>
      <c r="B65" t="str">
        <v xml:space="preserve">Sushma Kapur </v>
      </c>
      <c r="C65" t="str">
        <v>Female</v>
      </c>
      <c r="D65">
        <v>50</v>
      </c>
      <c r="E65">
        <v>0</v>
      </c>
      <c r="F65">
        <v>50</v>
      </c>
      <c r="G65" t="str">
        <v>Cash</v>
      </c>
      <c r="H65" t="str">
        <v>Tue Dec 02 2025</v>
      </c>
      <c r="I65" t="str">
        <v>Wed Mar 11 2026</v>
      </c>
    </row>
    <row r="66">
      <c r="A66">
        <v>2529</v>
      </c>
      <c r="B66" t="str">
        <v xml:space="preserve">Rajani Joshi </v>
      </c>
      <c r="C66" t="str">
        <v>Female</v>
      </c>
      <c r="D66">
        <v>70</v>
      </c>
      <c r="E66">
        <v>70</v>
      </c>
      <c r="F66">
        <v>0</v>
      </c>
      <c r="G66" t="str">
        <v>UPI</v>
      </c>
      <c r="H66" t="str">
        <v>Fri Feb 20 2026</v>
      </c>
      <c r="I66" t="str">
        <v>Wed Mar 11 2026</v>
      </c>
    </row>
    <row r="67">
      <c r="A67">
        <v>2496</v>
      </c>
      <c r="B67" t="str">
        <v xml:space="preserve">Urmila Sharma </v>
      </c>
      <c r="C67" t="str">
        <v>Female</v>
      </c>
      <c r="D67">
        <v>50</v>
      </c>
      <c r="E67">
        <v>50</v>
      </c>
      <c r="F67">
        <v>0</v>
      </c>
      <c r="G67" t="str">
        <v>Cash</v>
      </c>
      <c r="H67" t="str">
        <v>Sat Feb 14 2026</v>
      </c>
      <c r="I67" t="str">
        <v>Wed Mar 11 2026</v>
      </c>
    </row>
    <row r="68">
      <c r="A68">
        <v>2658</v>
      </c>
      <c r="B68" t="str">
        <v xml:space="preserve">Nanuram Prajapat </v>
      </c>
      <c r="C68" t="str">
        <v>Male</v>
      </c>
      <c r="D68">
        <v>50</v>
      </c>
      <c r="E68">
        <v>30</v>
      </c>
      <c r="F68">
        <v>20</v>
      </c>
      <c r="G68" t="str">
        <v>Cash</v>
      </c>
      <c r="H68" t="str">
        <v>Sat Mar 07 2026</v>
      </c>
      <c r="I68" t="str">
        <v>Wed Mar 11 2026</v>
      </c>
    </row>
    <row r="69">
      <c r="A69">
        <v>2679</v>
      </c>
      <c r="B69" t="str">
        <v xml:space="preserve">Sima Patel </v>
      </c>
      <c r="C69" t="str">
        <v>Female</v>
      </c>
      <c r="D69">
        <v>50</v>
      </c>
      <c r="E69">
        <v>50</v>
      </c>
      <c r="F69">
        <v>0</v>
      </c>
      <c r="G69" t="str">
        <v>Cash</v>
      </c>
      <c r="H69" t="str">
        <v>Tue Mar 10 2026</v>
      </c>
      <c r="I69" t="str">
        <v>Wed Mar 11 2026</v>
      </c>
    </row>
    <row r="70">
      <c r="A70">
        <v>2030</v>
      </c>
      <c r="B70" t="str">
        <v xml:space="preserve">Subhash Kapoor </v>
      </c>
      <c r="C70" t="str">
        <v>Male</v>
      </c>
      <c r="D70">
        <v>50</v>
      </c>
      <c r="E70">
        <v>0</v>
      </c>
      <c r="F70">
        <v>50</v>
      </c>
      <c r="G70" t="str">
        <v>Cash</v>
      </c>
      <c r="H70" t="str">
        <v>Mon Dec 15 2025</v>
      </c>
      <c r="I70" t="str">
        <v>Wed Mar 11 2026</v>
      </c>
    </row>
    <row r="71">
      <c r="A71">
        <v>2617</v>
      </c>
      <c r="B71" t="str">
        <v xml:space="preserve">Kirti Jain </v>
      </c>
      <c r="C71" t="str">
        <v>Female</v>
      </c>
      <c r="D71">
        <v>70</v>
      </c>
      <c r="E71">
        <v>70</v>
      </c>
      <c r="F71">
        <v>0</v>
      </c>
      <c r="G71" t="str">
        <v>Cash</v>
      </c>
      <c r="H71" t="str">
        <v>Mon Mar 02 2026</v>
      </c>
      <c r="I71" t="str">
        <v>Wed Mar 11 2026</v>
      </c>
    </row>
    <row r="72">
      <c r="A72">
        <v>2685</v>
      </c>
      <c r="B72" t="str">
        <v xml:space="preserve">Anjali Pawar </v>
      </c>
      <c r="C72" t="str">
        <v>Female</v>
      </c>
      <c r="D72">
        <v>110</v>
      </c>
      <c r="E72">
        <v>110</v>
      </c>
      <c r="F72">
        <v>0</v>
      </c>
      <c r="G72" t="str">
        <v>UPI</v>
      </c>
      <c r="H72" t="str">
        <v>Wed Mar 11 2026</v>
      </c>
      <c r="I72" t="str">
        <v>Wed Mar 11 2026</v>
      </c>
    </row>
    <row r="73">
      <c r="A73">
        <v>2648</v>
      </c>
      <c r="B73" t="str">
        <v xml:space="preserve">Paramvir Singh </v>
      </c>
      <c r="C73" t="str">
        <v>Male</v>
      </c>
      <c r="D73">
        <v>50</v>
      </c>
      <c r="E73">
        <v>50</v>
      </c>
      <c r="F73">
        <v>0</v>
      </c>
      <c r="G73" t="str">
        <v>UPI</v>
      </c>
      <c r="H73" t="str">
        <v>Fri Mar 06 2026</v>
      </c>
      <c r="I73" t="str">
        <v>Wed Mar 11 2026</v>
      </c>
    </row>
    <row r="74">
      <c r="A74">
        <v>2628</v>
      </c>
      <c r="B74" t="str">
        <v xml:space="preserve">Arun Gupta </v>
      </c>
      <c r="C74" t="str">
        <v>Male</v>
      </c>
      <c r="D74">
        <v>50</v>
      </c>
      <c r="E74">
        <v>50</v>
      </c>
      <c r="F74">
        <v>0</v>
      </c>
      <c r="G74" t="str">
        <v>Cash</v>
      </c>
      <c r="H74" t="str">
        <v>Thu Mar 05 2026</v>
      </c>
      <c r="I74" t="str">
        <v>Wed Mar 11 2026</v>
      </c>
    </row>
    <row r="75">
      <c r="A75">
        <v>2618</v>
      </c>
      <c r="B75" t="str">
        <v xml:space="preserve">Pramod Paliwal </v>
      </c>
      <c r="C75" t="str">
        <v>Male</v>
      </c>
      <c r="D75">
        <v>50</v>
      </c>
      <c r="E75">
        <v>50</v>
      </c>
      <c r="F75">
        <v>0</v>
      </c>
      <c r="G75" t="str">
        <v>Cash</v>
      </c>
      <c r="H75" t="str">
        <v>Mon Mar 02 2026</v>
      </c>
      <c r="I75" t="str">
        <v>Wed Mar 11 2026</v>
      </c>
    </row>
    <row r="76">
      <c r="A76">
        <v>2552</v>
      </c>
      <c r="B76" t="str">
        <v>Priti Verma</v>
      </c>
      <c r="C76" t="str">
        <v>Female</v>
      </c>
      <c r="D76">
        <v>50</v>
      </c>
      <c r="E76">
        <v>50</v>
      </c>
      <c r="F76">
        <v>0</v>
      </c>
      <c r="G76" t="str">
        <v>Cash</v>
      </c>
      <c r="H76" t="str">
        <v>Mon Feb 23 2026</v>
      </c>
      <c r="I76" t="str">
        <v>Wed Mar 11 2026</v>
      </c>
    </row>
    <row r="77">
      <c r="A77">
        <v>2635</v>
      </c>
      <c r="B77" t="str">
        <v xml:space="preserve">O. P. Joshi </v>
      </c>
      <c r="C77" t="str">
        <v>Male</v>
      </c>
      <c r="D77">
        <v>50</v>
      </c>
      <c r="E77">
        <v>50</v>
      </c>
      <c r="F77">
        <v>0</v>
      </c>
      <c r="G77" t="str">
        <v>Cash</v>
      </c>
      <c r="H77" t="str">
        <v>Thu Mar 05 2026</v>
      </c>
      <c r="I77" t="str">
        <v>Wed Mar 11 2026</v>
      </c>
    </row>
    <row r="78">
      <c r="A78">
        <v>2592</v>
      </c>
      <c r="B78" t="str">
        <v xml:space="preserve">Tripti Yadav </v>
      </c>
      <c r="C78" t="str">
        <v>Female</v>
      </c>
      <c r="D78">
        <v>50</v>
      </c>
      <c r="E78">
        <v>50</v>
      </c>
      <c r="F78">
        <v>0</v>
      </c>
      <c r="G78" t="str">
        <v>Cash</v>
      </c>
      <c r="H78" t="str">
        <v>Thu Feb 26 2026</v>
      </c>
      <c r="I78" t="str">
        <v>Wed Mar 11 2026</v>
      </c>
    </row>
  </sheetData>
  <ignoredErrors>
    <ignoredError numberStoredAsText="1" sqref="A1:N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6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Tue Mar 10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SUM(D10:D86)</f>
      </c>
      <c r="B7" t="e">
        <f t="array" ref="B7">SUM(E10:E86)</f>
      </c>
      <c r="C7" t="e">
        <f t="array" ref="C7">SUMIF(G10:G86, "Cash", E10:E86)</f>
      </c>
      <c r="D7" t="e">
        <f t="array" ref="D7">SUMIF(G10:G86, "UPI", E10:E86)</f>
      </c>
      <c r="E7" t="e">
        <f t="array" ref="E7">COUNTA(G10:G86)</f>
      </c>
      <c r="F7" t="e">
        <f t="array" ref="F7">COUNTIF(G10:G86, "Cash")</f>
      </c>
      <c r="G7" t="e">
        <f t="array" ref="G7">COUNTIF(G10:G86, "UPI")</f>
      </c>
      <c r="H7" t="e">
        <f t="array" ref="H7">SUM(F10:F86)</f>
      </c>
      <c r="I7" t="e">
        <f t="array" ref="I7">COUNT(FILTER(F10:F86, F10:F86=D10:D86))</f>
      </c>
      <c r="J7" t="e">
        <f t="array" ref="J7">IFERROR(ROWS(UNIQUE(FILTER(A10:A86,C10:C86="Male"))),0)</f>
      </c>
      <c r="K7" t="e">
        <f t="array" ref="K7">IFERROR(ROWS(UNIQUE(FILTER(A10:A86,C10:C86="Female"))),0)</f>
      </c>
      <c r="L7" t="e">
        <f t="array" ref="L7">IFERROR(ROWS(UNIQUE(FILTER(A10:A86,H10:H86=I10))),0)</f>
      </c>
      <c r="M7" t="e">
        <f t="array" ref="M7">IFERROR(ROWS(UNIQUE(FILTER(A10:A86,H10:H86&lt;&gt;I10))),0)</f>
      </c>
      <c r="N7" t="e">
        <f t="array" ref="N7">IFERROR(ROWS(UNIQUE(A10:A86)),0)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2600</v>
      </c>
      <c r="B10" t="str">
        <v xml:space="preserve">Kiran Soni </v>
      </c>
      <c r="C10" t="str">
        <v>Female</v>
      </c>
      <c r="D10">
        <v>70</v>
      </c>
      <c r="E10">
        <v>70</v>
      </c>
      <c r="F10">
        <v>0</v>
      </c>
      <c r="G10" t="str">
        <v>Cash</v>
      </c>
      <c r="H10" t="str">
        <v>Sat Feb 28 2026</v>
      </c>
      <c r="I10" t="str">
        <v>Tue Mar 10 2026</v>
      </c>
    </row>
    <row r="11">
      <c r="A11">
        <v>2667</v>
      </c>
      <c r="B11" t="str">
        <v xml:space="preserve">Abhishek Yadav </v>
      </c>
      <c r="C11" t="str">
        <v>Male</v>
      </c>
      <c r="D11">
        <v>50</v>
      </c>
      <c r="E11">
        <v>50</v>
      </c>
      <c r="F11">
        <v>0</v>
      </c>
      <c r="G11" t="str">
        <v>Cash</v>
      </c>
      <c r="H11" t="str">
        <v>Mon Mar 09 2026</v>
      </c>
      <c r="I11" t="str">
        <v>Tue Mar 10 2026</v>
      </c>
    </row>
    <row r="12">
      <c r="A12">
        <v>2651</v>
      </c>
      <c r="B12" t="str">
        <v xml:space="preserve">Sarika Varma </v>
      </c>
      <c r="C12" t="str">
        <v>Female</v>
      </c>
      <c r="D12">
        <v>50</v>
      </c>
      <c r="E12">
        <v>50</v>
      </c>
      <c r="F12">
        <v>0</v>
      </c>
      <c r="G12" t="str">
        <v>Cash</v>
      </c>
      <c r="H12" t="str">
        <v>Sat Mar 07 2026</v>
      </c>
      <c r="I12" t="str">
        <v>Tue Mar 10 2026</v>
      </c>
    </row>
    <row r="13">
      <c r="A13">
        <v>2413</v>
      </c>
      <c r="B13" t="str">
        <v xml:space="preserve">Kailash Agrawal </v>
      </c>
      <c r="C13" t="str">
        <v>Male</v>
      </c>
      <c r="D13">
        <v>130</v>
      </c>
      <c r="E13">
        <v>130</v>
      </c>
      <c r="F13">
        <v>0</v>
      </c>
      <c r="G13" t="str">
        <v>Cash</v>
      </c>
      <c r="H13" t="str">
        <v>Thu Feb 05 2026</v>
      </c>
      <c r="I13" t="str">
        <v>Tue Mar 10 2026</v>
      </c>
    </row>
    <row r="14">
      <c r="A14">
        <v>2412</v>
      </c>
      <c r="B14" t="str">
        <v xml:space="preserve">Kamini Agrawal </v>
      </c>
      <c r="C14" t="str">
        <v>Female</v>
      </c>
      <c r="D14">
        <v>110</v>
      </c>
      <c r="E14">
        <v>110</v>
      </c>
      <c r="F14">
        <v>0</v>
      </c>
      <c r="G14" t="str">
        <v>Cash</v>
      </c>
      <c r="H14" t="str">
        <v>Thu Feb 05 2026</v>
      </c>
      <c r="I14" t="str">
        <v>Tue Mar 10 2026</v>
      </c>
    </row>
    <row r="15">
      <c r="A15">
        <v>2661</v>
      </c>
      <c r="B15" t="str">
        <v xml:space="preserve">Manish Pancholi </v>
      </c>
      <c r="C15" t="str">
        <v>Male</v>
      </c>
      <c r="D15">
        <v>50</v>
      </c>
      <c r="E15">
        <v>50</v>
      </c>
      <c r="F15">
        <v>0</v>
      </c>
      <c r="G15" t="str">
        <v>UPI</v>
      </c>
      <c r="H15" t="str">
        <v>Mon Mar 09 2026</v>
      </c>
      <c r="I15" t="str">
        <v>Tue Mar 10 2026</v>
      </c>
    </row>
    <row r="16">
      <c r="A16">
        <v>1645</v>
      </c>
      <c r="B16" t="str">
        <v>Jaiprakash Mishra</v>
      </c>
      <c r="C16" t="str">
        <v>Male</v>
      </c>
      <c r="D16">
        <v>50</v>
      </c>
      <c r="E16">
        <v>50</v>
      </c>
      <c r="F16">
        <v>0</v>
      </c>
      <c r="G16" t="str">
        <v>Cash</v>
      </c>
      <c r="H16" t="str">
        <v>Mon Oct 27 2025</v>
      </c>
      <c r="I16" t="str">
        <v>Tue Mar 10 2026</v>
      </c>
    </row>
    <row r="17">
      <c r="A17">
        <v>2581</v>
      </c>
      <c r="B17" t="str">
        <v xml:space="preserve">Radheshyam Bhavsar </v>
      </c>
      <c r="C17" t="str">
        <v>Male</v>
      </c>
      <c r="D17">
        <v>50</v>
      </c>
      <c r="E17">
        <v>50</v>
      </c>
      <c r="F17">
        <v>0</v>
      </c>
      <c r="G17" t="str">
        <v>UPI</v>
      </c>
      <c r="H17" t="str">
        <v>Wed Feb 25 2026</v>
      </c>
      <c r="I17" t="str">
        <v>Tue Mar 10 2026</v>
      </c>
    </row>
    <row r="18">
      <c r="A18">
        <v>2662</v>
      </c>
      <c r="B18" t="str">
        <v xml:space="preserve">Gajendra Khare </v>
      </c>
      <c r="C18" t="str">
        <v>Male</v>
      </c>
      <c r="D18">
        <v>60</v>
      </c>
      <c r="E18">
        <v>60</v>
      </c>
      <c r="F18">
        <v>0</v>
      </c>
      <c r="G18" t="str">
        <v>Cash</v>
      </c>
      <c r="H18" t="str">
        <v>Mon Mar 09 2026</v>
      </c>
      <c r="I18" t="str">
        <v>Tue Mar 10 2026</v>
      </c>
    </row>
    <row r="19">
      <c r="A19">
        <v>2623</v>
      </c>
      <c r="B19" t="str">
        <v xml:space="preserve">Priti Kashyap </v>
      </c>
      <c r="C19" t="str">
        <v>Female</v>
      </c>
      <c r="D19">
        <v>50</v>
      </c>
      <c r="E19">
        <v>50</v>
      </c>
      <c r="F19">
        <v>0</v>
      </c>
      <c r="G19" t="str">
        <v>Cash</v>
      </c>
      <c r="H19" t="str">
        <v>Thu Mar 05 2026</v>
      </c>
      <c r="I19" t="str">
        <v>Tue Mar 10 2026</v>
      </c>
    </row>
    <row r="20">
      <c r="A20">
        <v>2612</v>
      </c>
      <c r="B20" t="str">
        <v xml:space="preserve">Minakshi Yadav </v>
      </c>
      <c r="C20" t="str">
        <v>Female</v>
      </c>
      <c r="D20">
        <v>50</v>
      </c>
      <c r="E20">
        <v>50</v>
      </c>
      <c r="F20">
        <v>0</v>
      </c>
      <c r="G20" t="str">
        <v>Cash</v>
      </c>
      <c r="H20" t="str">
        <v>Mon Mar 02 2026</v>
      </c>
      <c r="I20" t="str">
        <v>Tue Mar 10 2026</v>
      </c>
    </row>
    <row r="21">
      <c r="A21">
        <v>2664</v>
      </c>
      <c r="B21" t="str">
        <v>Farzana</v>
      </c>
      <c r="C21" t="str">
        <v>Female</v>
      </c>
      <c r="D21">
        <v>50</v>
      </c>
      <c r="E21">
        <v>50</v>
      </c>
      <c r="F21">
        <v>0</v>
      </c>
      <c r="G21" t="str">
        <v>Cash</v>
      </c>
      <c r="H21" t="str">
        <v>Mon Mar 09 2026</v>
      </c>
      <c r="I21" t="str">
        <v>Tue Mar 10 2026</v>
      </c>
    </row>
    <row r="22">
      <c r="A22">
        <v>2471</v>
      </c>
      <c r="B22" t="str">
        <v>Ashwini Gundigawkar</v>
      </c>
      <c r="C22" t="str">
        <v>Female</v>
      </c>
      <c r="D22">
        <v>50</v>
      </c>
      <c r="E22">
        <v>50</v>
      </c>
      <c r="F22">
        <v>0</v>
      </c>
      <c r="G22" t="str">
        <v>Cash</v>
      </c>
      <c r="H22" t="str">
        <v>Wed Feb 11 2026</v>
      </c>
      <c r="I22" t="str">
        <v>Tue Mar 10 2026</v>
      </c>
    </row>
    <row r="23">
      <c r="A23">
        <v>2624</v>
      </c>
      <c r="B23" t="str">
        <v xml:space="preserve">Mukesh Chauhan </v>
      </c>
      <c r="C23" t="str">
        <v>Male</v>
      </c>
      <c r="D23">
        <v>50</v>
      </c>
      <c r="E23">
        <v>50</v>
      </c>
      <c r="F23">
        <v>0</v>
      </c>
      <c r="G23" t="str">
        <v>Cash</v>
      </c>
      <c r="H23" t="str">
        <v>Thu Mar 05 2026</v>
      </c>
      <c r="I23" t="str">
        <v>Tue Mar 10 2026</v>
      </c>
    </row>
    <row r="24">
      <c r="A24">
        <v>2655</v>
      </c>
      <c r="B24" t="str">
        <v xml:space="preserve">Abhishek Dubey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Sat Mar 07 2026</v>
      </c>
      <c r="I24" t="str">
        <v>Tue Mar 10 2026</v>
      </c>
    </row>
    <row r="25">
      <c r="A25">
        <v>2668</v>
      </c>
      <c r="B25" t="str">
        <v xml:space="preserve">Rishab Tiwari </v>
      </c>
      <c r="C25" t="str">
        <v>Male</v>
      </c>
      <c r="D25">
        <v>60</v>
      </c>
      <c r="E25">
        <v>60</v>
      </c>
      <c r="F25">
        <v>0</v>
      </c>
      <c r="G25" t="str">
        <v>Cash</v>
      </c>
      <c r="H25" t="str">
        <v>Mon Mar 09 2026</v>
      </c>
      <c r="I25" t="str">
        <v>Tue Mar 10 2026</v>
      </c>
    </row>
    <row r="26">
      <c r="A26">
        <v>2641</v>
      </c>
      <c r="B26" t="str">
        <v xml:space="preserve">Anita Jain </v>
      </c>
      <c r="C26" t="str">
        <v>Female</v>
      </c>
      <c r="D26">
        <v>50</v>
      </c>
      <c r="E26">
        <v>50</v>
      </c>
      <c r="F26">
        <v>0</v>
      </c>
      <c r="G26" t="str">
        <v>Cash</v>
      </c>
      <c r="H26" t="str">
        <v>Fri Mar 06 2026</v>
      </c>
      <c r="I26" t="str">
        <v>Tue Mar 10 2026</v>
      </c>
    </row>
    <row r="27">
      <c r="A27">
        <v>2451</v>
      </c>
      <c r="B27" t="str">
        <v xml:space="preserve">Prakash Joshi </v>
      </c>
      <c r="C27" t="str">
        <v>Male</v>
      </c>
      <c r="D27">
        <v>130</v>
      </c>
      <c r="E27">
        <v>130</v>
      </c>
      <c r="F27">
        <v>0</v>
      </c>
      <c r="G27" t="str">
        <v>Cash</v>
      </c>
      <c r="H27" t="str">
        <v>Mon Feb 09 2026</v>
      </c>
      <c r="I27" t="str">
        <v>Tue Mar 10 2026</v>
      </c>
    </row>
    <row r="28">
      <c r="A28">
        <v>2528</v>
      </c>
      <c r="B28" t="str">
        <v xml:space="preserve">Rajeshwari Shukla 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Fri Feb 20 2026</v>
      </c>
      <c r="I28" t="str">
        <v>Tue Mar 10 2026</v>
      </c>
    </row>
    <row r="29">
      <c r="A29">
        <v>1437</v>
      </c>
      <c r="B29" t="str">
        <v>Suraj Dharve</v>
      </c>
      <c r="C29" t="str">
        <v>Female</v>
      </c>
      <c r="D29">
        <v>50</v>
      </c>
      <c r="E29">
        <v>0</v>
      </c>
      <c r="F29">
        <v>50</v>
      </c>
      <c r="G29" t="str">
        <v>Cash</v>
      </c>
      <c r="H29" t="str">
        <v>Fri Sep 19 2025</v>
      </c>
      <c r="I29" t="str">
        <v>Tue Mar 10 2026</v>
      </c>
    </row>
    <row r="30">
      <c r="A30">
        <v>996</v>
      </c>
      <c r="B30" t="str">
        <v>Sarita Rathor</v>
      </c>
      <c r="C30" t="str">
        <v>Female</v>
      </c>
      <c r="D30">
        <v>50</v>
      </c>
      <c r="E30">
        <v>0</v>
      </c>
      <c r="F30">
        <v>50</v>
      </c>
      <c r="G30" t="str">
        <v>Cash</v>
      </c>
      <c r="H30" t="str">
        <v>Sat Jul 19 2025</v>
      </c>
      <c r="I30" t="str">
        <v>Tue Mar 10 2026</v>
      </c>
    </row>
    <row r="31">
      <c r="A31">
        <v>2640</v>
      </c>
      <c r="B31" t="str">
        <v xml:space="preserve">Antul Jain </v>
      </c>
      <c r="C31" t="str">
        <v>Male</v>
      </c>
      <c r="D31">
        <v>50</v>
      </c>
      <c r="E31">
        <v>50</v>
      </c>
      <c r="F31">
        <v>0</v>
      </c>
      <c r="G31" t="str">
        <v>Cash</v>
      </c>
      <c r="H31" t="str">
        <v>Fri Mar 06 2026</v>
      </c>
      <c r="I31" t="str">
        <v>Tue Mar 10 2026</v>
      </c>
    </row>
    <row r="32">
      <c r="A32">
        <v>2614</v>
      </c>
      <c r="B32" t="str">
        <v xml:space="preserve">Sushma Morya </v>
      </c>
      <c r="C32" t="str">
        <v>Female</v>
      </c>
      <c r="D32">
        <v>50</v>
      </c>
      <c r="E32">
        <v>50</v>
      </c>
      <c r="F32">
        <v>0</v>
      </c>
      <c r="G32" t="str">
        <v>Cash</v>
      </c>
      <c r="H32" t="str">
        <v>Mon Mar 02 2026</v>
      </c>
      <c r="I32" t="str">
        <v>Tue Mar 10 2026</v>
      </c>
    </row>
    <row r="33">
      <c r="A33">
        <v>2652</v>
      </c>
      <c r="B33" t="str">
        <v xml:space="preserve">Ganesh Patel </v>
      </c>
      <c r="C33" t="str">
        <v>Male</v>
      </c>
      <c r="D33">
        <v>50</v>
      </c>
      <c r="E33">
        <v>50</v>
      </c>
      <c r="F33">
        <v>0</v>
      </c>
      <c r="G33" t="str">
        <v>Cash</v>
      </c>
      <c r="H33" t="str">
        <v>Sat Mar 07 2026</v>
      </c>
      <c r="I33" t="str">
        <v>Tue Mar 10 2026</v>
      </c>
    </row>
    <row r="34">
      <c r="A34">
        <v>2452</v>
      </c>
      <c r="B34" t="str">
        <v xml:space="preserve">B. S. Rajput </v>
      </c>
      <c r="C34" t="str">
        <v>Male</v>
      </c>
      <c r="D34">
        <v>110</v>
      </c>
      <c r="E34">
        <v>110</v>
      </c>
      <c r="F34">
        <v>0</v>
      </c>
      <c r="G34" t="str">
        <v>Cash</v>
      </c>
      <c r="H34" t="str">
        <v>Mon Feb 09 2026</v>
      </c>
      <c r="I34" t="str">
        <v>Tue Mar 10 2026</v>
      </c>
    </row>
    <row r="35">
      <c r="A35">
        <v>2663</v>
      </c>
      <c r="B35" t="str">
        <v xml:space="preserve">Reena joshi </v>
      </c>
      <c r="C35" t="str">
        <v>Female</v>
      </c>
      <c r="D35">
        <v>50</v>
      </c>
      <c r="E35">
        <v>50</v>
      </c>
      <c r="F35">
        <v>0</v>
      </c>
      <c r="G35" t="str">
        <v>Cash</v>
      </c>
      <c r="H35" t="str">
        <v>Mon Mar 09 2026</v>
      </c>
      <c r="I35" t="str">
        <v>Tue Mar 10 2026</v>
      </c>
    </row>
    <row r="36">
      <c r="A36">
        <v>2669</v>
      </c>
      <c r="B36" t="str">
        <v>Jay Prakash Diya</v>
      </c>
      <c r="C36" t="str">
        <v>Male</v>
      </c>
      <c r="D36">
        <v>50</v>
      </c>
      <c r="E36">
        <v>50</v>
      </c>
      <c r="F36">
        <v>0</v>
      </c>
      <c r="G36" t="str">
        <v>UPI</v>
      </c>
      <c r="H36" t="str">
        <v>Mon Mar 09 2026</v>
      </c>
      <c r="I36" t="str">
        <v>Tue Mar 10 2026</v>
      </c>
    </row>
    <row r="37">
      <c r="A37">
        <v>2629</v>
      </c>
      <c r="B37" t="str">
        <v>Surjit Adak</v>
      </c>
      <c r="C37" t="str">
        <v>Male</v>
      </c>
      <c r="D37">
        <v>50</v>
      </c>
      <c r="E37">
        <v>50</v>
      </c>
      <c r="F37">
        <v>0</v>
      </c>
      <c r="G37" t="str">
        <v>Cash</v>
      </c>
      <c r="H37" t="str">
        <v>Thu Mar 05 2026</v>
      </c>
      <c r="I37" t="str">
        <v>Tue Mar 10 2026</v>
      </c>
    </row>
    <row r="38">
      <c r="A38">
        <v>2588</v>
      </c>
      <c r="B38" t="str">
        <v>Krishna varma</v>
      </c>
      <c r="C38" t="str">
        <v>Female</v>
      </c>
      <c r="D38">
        <v>50</v>
      </c>
      <c r="E38">
        <v>50</v>
      </c>
      <c r="F38">
        <v>0</v>
      </c>
      <c r="G38" t="str">
        <v>Cash</v>
      </c>
      <c r="H38" t="str">
        <v>Thu Feb 26 2026</v>
      </c>
      <c r="I38" t="str">
        <v>Tue Mar 10 2026</v>
      </c>
    </row>
    <row r="39">
      <c r="A39">
        <v>2633</v>
      </c>
      <c r="B39" t="str">
        <v xml:space="preserve">Resham Baghel </v>
      </c>
      <c r="C39" t="str">
        <v>Female</v>
      </c>
      <c r="D39">
        <v>50</v>
      </c>
      <c r="E39">
        <v>50</v>
      </c>
      <c r="F39">
        <v>0</v>
      </c>
      <c r="G39" t="str">
        <v>Cash</v>
      </c>
      <c r="H39" t="str">
        <v>Thu Mar 05 2026</v>
      </c>
      <c r="I39" t="str">
        <v>Tue Mar 10 2026</v>
      </c>
    </row>
    <row r="40">
      <c r="A40">
        <v>2674</v>
      </c>
      <c r="B40" t="str">
        <v xml:space="preserve">Mira Sharma </v>
      </c>
      <c r="C40" t="str">
        <v>Female</v>
      </c>
      <c r="D40">
        <v>110</v>
      </c>
      <c r="E40">
        <v>110</v>
      </c>
      <c r="F40">
        <v>0</v>
      </c>
      <c r="G40" t="str">
        <v>Cash</v>
      </c>
      <c r="H40" t="str">
        <v>Tue Mar 10 2026</v>
      </c>
      <c r="I40" t="str">
        <v>Tue Mar 10 2026</v>
      </c>
    </row>
    <row r="41">
      <c r="A41">
        <v>2544</v>
      </c>
      <c r="B41" t="str">
        <v>Nitin singh</v>
      </c>
      <c r="C41" t="str">
        <v>Male</v>
      </c>
      <c r="D41">
        <v>50</v>
      </c>
      <c r="E41">
        <v>50</v>
      </c>
      <c r="F41">
        <v>0</v>
      </c>
      <c r="G41" t="str">
        <v>Cash</v>
      </c>
      <c r="H41" t="str">
        <v>Mon Feb 23 2026</v>
      </c>
      <c r="I41" t="str">
        <v>Tue Mar 10 2026</v>
      </c>
    </row>
    <row r="42">
      <c r="A42">
        <v>2675</v>
      </c>
      <c r="B42" t="str">
        <v xml:space="preserve">Manoj Tomar </v>
      </c>
      <c r="C42" t="str">
        <v>Male</v>
      </c>
      <c r="D42">
        <v>110</v>
      </c>
      <c r="E42">
        <v>110</v>
      </c>
      <c r="F42">
        <v>0</v>
      </c>
      <c r="G42" t="str">
        <v>Cash</v>
      </c>
      <c r="H42" t="str">
        <v>Tue Mar 10 2026</v>
      </c>
      <c r="I42" t="str">
        <v>Tue Mar 10 2026</v>
      </c>
    </row>
    <row r="43">
      <c r="A43">
        <v>2584</v>
      </c>
      <c r="B43" t="str">
        <v xml:space="preserve">Lokesh Raghuvanshi </v>
      </c>
      <c r="C43" t="str">
        <v>Male</v>
      </c>
      <c r="D43">
        <v>70</v>
      </c>
      <c r="E43">
        <v>70</v>
      </c>
      <c r="F43">
        <v>0</v>
      </c>
      <c r="G43" t="str">
        <v>UPI</v>
      </c>
      <c r="H43" t="str">
        <v>Thu Feb 26 2026</v>
      </c>
      <c r="I43" t="str">
        <v>Tue Mar 10 2026</v>
      </c>
    </row>
    <row r="44">
      <c r="A44">
        <v>2676</v>
      </c>
      <c r="B44" t="str">
        <v xml:space="preserve">Savita Soni </v>
      </c>
      <c r="C44" t="str">
        <v>Female</v>
      </c>
      <c r="D44">
        <v>110</v>
      </c>
      <c r="E44">
        <v>110</v>
      </c>
      <c r="F44">
        <v>0</v>
      </c>
      <c r="G44" t="str">
        <v>Cash</v>
      </c>
      <c r="H44" t="str">
        <v>Tue Mar 10 2026</v>
      </c>
      <c r="I44" t="str">
        <v>Tue Mar 10 2026</v>
      </c>
    </row>
    <row r="45">
      <c r="A45">
        <v>2626</v>
      </c>
      <c r="B45" t="str">
        <v xml:space="preserve">Lokesh Chouhan </v>
      </c>
      <c r="C45" t="str">
        <v>Male</v>
      </c>
      <c r="D45">
        <v>50</v>
      </c>
      <c r="E45">
        <v>50</v>
      </c>
      <c r="F45">
        <v>0</v>
      </c>
      <c r="G45" t="str">
        <v>UPI</v>
      </c>
      <c r="H45" t="str">
        <v>Thu Mar 05 2026</v>
      </c>
      <c r="I45" t="str">
        <v>Tue Mar 10 2026</v>
      </c>
    </row>
    <row r="46">
      <c r="A46">
        <v>2619</v>
      </c>
      <c r="B46" t="str">
        <v>Kailash Mathur</v>
      </c>
      <c r="C46" t="str">
        <v>Male</v>
      </c>
      <c r="D46">
        <v>50</v>
      </c>
      <c r="E46">
        <v>50</v>
      </c>
      <c r="F46">
        <v>0</v>
      </c>
      <c r="G46" t="str">
        <v>Cash</v>
      </c>
      <c r="H46" t="str">
        <v>Tue Mar 03 2026</v>
      </c>
      <c r="I46" t="str">
        <v>Tue Mar 10 2026</v>
      </c>
    </row>
    <row r="47">
      <c r="A47">
        <v>2677</v>
      </c>
      <c r="B47" t="str">
        <v>Vibha Godha</v>
      </c>
      <c r="C47" t="str">
        <v>Female</v>
      </c>
      <c r="D47">
        <v>110</v>
      </c>
      <c r="E47">
        <v>110</v>
      </c>
      <c r="F47">
        <v>0</v>
      </c>
      <c r="G47" t="str">
        <v>Cash</v>
      </c>
      <c r="H47" t="str">
        <v>Tue Mar 10 2026</v>
      </c>
      <c r="I47" t="str">
        <v>Tue Mar 10 2026</v>
      </c>
    </row>
    <row r="48">
      <c r="A48">
        <v>2678</v>
      </c>
      <c r="B48" t="str">
        <v>Mangesh Rai</v>
      </c>
      <c r="C48" t="str">
        <v>Male</v>
      </c>
      <c r="D48">
        <v>110</v>
      </c>
      <c r="E48">
        <v>110</v>
      </c>
      <c r="F48">
        <v>0</v>
      </c>
      <c r="G48" t="str">
        <v>Cash</v>
      </c>
      <c r="H48" t="str">
        <v>Tue Mar 10 2026</v>
      </c>
      <c r="I48" t="str">
        <v>Tue Mar 10 2026</v>
      </c>
    </row>
    <row r="49">
      <c r="A49">
        <v>2679</v>
      </c>
      <c r="B49" t="str">
        <v xml:space="preserve">Sima Patel </v>
      </c>
      <c r="C49" t="str">
        <v>Female</v>
      </c>
      <c r="D49">
        <v>110</v>
      </c>
      <c r="E49">
        <v>110</v>
      </c>
      <c r="F49">
        <v>0</v>
      </c>
      <c r="G49" t="str">
        <v>Cash</v>
      </c>
      <c r="H49" t="str">
        <v>Tue Mar 10 2026</v>
      </c>
      <c r="I49" t="str">
        <v>Tue Mar 10 2026</v>
      </c>
    </row>
    <row r="50">
      <c r="A50">
        <v>2625</v>
      </c>
      <c r="B50" t="str">
        <v>Vijay khetan</v>
      </c>
      <c r="C50" t="str">
        <v>Male</v>
      </c>
      <c r="D50">
        <v>50</v>
      </c>
      <c r="E50">
        <v>50</v>
      </c>
      <c r="F50">
        <v>0</v>
      </c>
      <c r="G50" t="str">
        <v>Cash</v>
      </c>
      <c r="H50" t="str">
        <v>Thu Mar 05 2026</v>
      </c>
      <c r="I50" t="str">
        <v>Tue Mar 10 2026</v>
      </c>
    </row>
    <row r="51">
      <c r="A51">
        <v>2494</v>
      </c>
      <c r="B51" t="str">
        <v xml:space="preserve">Bhagwat Singh 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Sat Feb 14 2026</v>
      </c>
      <c r="I51" t="str">
        <v>Tue Mar 10 2026</v>
      </c>
    </row>
    <row r="52">
      <c r="A52">
        <v>2666</v>
      </c>
      <c r="B52" t="str">
        <v>Bharti Bhomik</v>
      </c>
      <c r="C52" t="str">
        <v>Female</v>
      </c>
      <c r="D52">
        <v>50</v>
      </c>
      <c r="E52">
        <v>50</v>
      </c>
      <c r="F52">
        <v>0</v>
      </c>
      <c r="G52" t="str">
        <v>Cash</v>
      </c>
      <c r="H52" t="str">
        <v>Mon Mar 09 2026</v>
      </c>
      <c r="I52" t="str">
        <v>Tue Mar 10 2026</v>
      </c>
    </row>
    <row r="53">
      <c r="A53">
        <v>2665</v>
      </c>
      <c r="B53" t="str">
        <v xml:space="preserve">Harish Mishra </v>
      </c>
      <c r="C53" t="str">
        <v>Male</v>
      </c>
      <c r="D53">
        <v>50</v>
      </c>
      <c r="E53">
        <v>50</v>
      </c>
      <c r="F53">
        <v>0</v>
      </c>
      <c r="G53" t="str">
        <v>Cash</v>
      </c>
      <c r="H53" t="str">
        <v>Mon Mar 09 2026</v>
      </c>
      <c r="I53" t="str">
        <v>Tue Mar 10 2026</v>
      </c>
    </row>
    <row r="54">
      <c r="A54">
        <v>2654</v>
      </c>
      <c r="B54" t="str">
        <v xml:space="preserve">Kavita Pawar </v>
      </c>
      <c r="C54" t="str">
        <v>Female</v>
      </c>
      <c r="D54">
        <v>50</v>
      </c>
      <c r="E54">
        <v>50</v>
      </c>
      <c r="F54">
        <v>0</v>
      </c>
      <c r="G54" t="str">
        <v>Cash</v>
      </c>
      <c r="H54" t="str">
        <v>Sat Mar 07 2026</v>
      </c>
      <c r="I54" t="str">
        <v>Tue Mar 10 2026</v>
      </c>
    </row>
    <row r="55">
      <c r="A55">
        <v>2498</v>
      </c>
      <c r="B55" t="str">
        <v>Shanti Saad</v>
      </c>
      <c r="C55" t="str">
        <v>Female</v>
      </c>
      <c r="D55">
        <v>50</v>
      </c>
      <c r="E55">
        <v>50</v>
      </c>
      <c r="F55">
        <v>0</v>
      </c>
      <c r="G55" t="str">
        <v>UPI</v>
      </c>
      <c r="H55" t="str">
        <v>Sat Feb 14 2026</v>
      </c>
      <c r="I55" t="str">
        <v>Tue Mar 10 2026</v>
      </c>
    </row>
    <row r="56">
      <c r="A56">
        <v>2645</v>
      </c>
      <c r="B56" t="str">
        <v xml:space="preserve">Adambai Prajapat </v>
      </c>
      <c r="C56" t="str">
        <v>Female</v>
      </c>
      <c r="D56">
        <v>50</v>
      </c>
      <c r="E56">
        <v>50</v>
      </c>
      <c r="F56">
        <v>0</v>
      </c>
      <c r="G56" t="str">
        <v>Cash</v>
      </c>
      <c r="H56" t="str">
        <v>Fri Mar 06 2026</v>
      </c>
      <c r="I56" t="str">
        <v>Tue Mar 10 2026</v>
      </c>
    </row>
    <row r="57">
      <c r="A57">
        <v>2606</v>
      </c>
      <c r="B57" t="str">
        <v xml:space="preserve">Subhash Porwal </v>
      </c>
      <c r="C57" t="str">
        <v>Male</v>
      </c>
      <c r="D57">
        <v>50</v>
      </c>
      <c r="E57">
        <v>50</v>
      </c>
      <c r="F57">
        <v>0</v>
      </c>
      <c r="G57" t="str">
        <v>Cash</v>
      </c>
      <c r="H57" t="str">
        <v>Sat Feb 28 2026</v>
      </c>
      <c r="I57" t="str">
        <v>Tue Mar 10 2026</v>
      </c>
    </row>
    <row r="58">
      <c r="A58">
        <v>2670</v>
      </c>
      <c r="B58" t="str">
        <v>Manjulata Aragwal</v>
      </c>
      <c r="C58" t="str">
        <v>Female</v>
      </c>
      <c r="D58">
        <v>50</v>
      </c>
      <c r="E58">
        <v>50</v>
      </c>
      <c r="F58">
        <v>0</v>
      </c>
      <c r="G58" t="str">
        <v>Cash</v>
      </c>
      <c r="H58" t="str">
        <v>Mon Mar 09 2026</v>
      </c>
      <c r="I58" t="str">
        <v>Tue Mar 10 2026</v>
      </c>
    </row>
    <row r="59">
      <c r="A59">
        <v>2671</v>
      </c>
      <c r="B59" t="str">
        <v xml:space="preserve">Omprakash Agrawal </v>
      </c>
      <c r="C59" t="str">
        <v>Male</v>
      </c>
      <c r="D59">
        <v>50</v>
      </c>
      <c r="E59">
        <v>50</v>
      </c>
      <c r="F59">
        <v>0</v>
      </c>
      <c r="G59" t="str">
        <v>Cash</v>
      </c>
      <c r="H59" t="str">
        <v>Mon Mar 09 2026</v>
      </c>
      <c r="I59" t="str">
        <v>Tue Mar 10 2026</v>
      </c>
    </row>
    <row r="60">
      <c r="A60">
        <v>2382</v>
      </c>
      <c r="B60" t="str">
        <v xml:space="preserve">Vijay Rathore </v>
      </c>
      <c r="C60" t="str">
        <v>Male</v>
      </c>
      <c r="D60">
        <v>50</v>
      </c>
      <c r="E60">
        <v>50</v>
      </c>
      <c r="F60">
        <v>0</v>
      </c>
      <c r="G60" t="str">
        <v>UPI</v>
      </c>
      <c r="H60" t="str">
        <v>Mon Feb 02 2026</v>
      </c>
      <c r="I60" t="str">
        <v>Tue Mar 10 2026</v>
      </c>
    </row>
    <row r="61">
      <c r="A61">
        <v>2142</v>
      </c>
      <c r="B61" t="str">
        <v xml:space="preserve">Santosh Kapurpura </v>
      </c>
      <c r="C61" t="str">
        <v>Female</v>
      </c>
      <c r="D61">
        <v>50</v>
      </c>
      <c r="E61">
        <v>50</v>
      </c>
      <c r="F61">
        <v>0</v>
      </c>
      <c r="G61" t="str">
        <v>Cash</v>
      </c>
      <c r="H61" t="str">
        <v>Tue Dec 30 2025</v>
      </c>
      <c r="I61" t="str">
        <v>Tue Mar 10 2026</v>
      </c>
    </row>
    <row r="62">
      <c r="A62">
        <v>2383</v>
      </c>
      <c r="B62" t="str">
        <v xml:space="preserve">Kalpana Bhawsar </v>
      </c>
      <c r="C62" t="str">
        <v>Female</v>
      </c>
      <c r="D62">
        <v>50</v>
      </c>
      <c r="E62">
        <v>50</v>
      </c>
      <c r="F62">
        <v>0</v>
      </c>
      <c r="G62" t="str">
        <v>UPI</v>
      </c>
      <c r="H62" t="str">
        <v>Mon Feb 02 2026</v>
      </c>
      <c r="I62" t="str">
        <v>Tue Mar 10 2026</v>
      </c>
    </row>
    <row r="63">
      <c r="A63">
        <v>2673</v>
      </c>
      <c r="B63" t="str">
        <v xml:space="preserve">Shekhar Chourasia </v>
      </c>
      <c r="C63" t="str">
        <v>Male</v>
      </c>
      <c r="D63">
        <v>50</v>
      </c>
      <c r="E63">
        <v>50</v>
      </c>
      <c r="F63">
        <v>0</v>
      </c>
      <c r="G63" t="str">
        <v>Cash</v>
      </c>
      <c r="H63" t="str">
        <v>Mon Mar 09 2026</v>
      </c>
      <c r="I63" t="str">
        <v>Tue Mar 10 2026</v>
      </c>
    </row>
    <row r="64">
      <c r="A64">
        <v>2565</v>
      </c>
      <c r="B64" t="str">
        <v xml:space="preserve">Sadhana Pateriya </v>
      </c>
      <c r="C64" t="str">
        <v>Female</v>
      </c>
      <c r="D64">
        <v>70</v>
      </c>
      <c r="E64">
        <v>70</v>
      </c>
      <c r="F64">
        <v>0</v>
      </c>
      <c r="G64" t="str">
        <v>Cash</v>
      </c>
      <c r="H64" t="str">
        <v>Tue Feb 24 2026</v>
      </c>
      <c r="I64" t="str">
        <v>Tue Mar 10 2026</v>
      </c>
    </row>
    <row r="65">
      <c r="A65">
        <v>2628</v>
      </c>
      <c r="B65" t="str">
        <v xml:space="preserve">Arun Gupta </v>
      </c>
      <c r="C65" t="str">
        <v>Male</v>
      </c>
      <c r="D65">
        <v>50</v>
      </c>
      <c r="E65">
        <v>50</v>
      </c>
      <c r="F65">
        <v>0</v>
      </c>
      <c r="G65" t="str">
        <v>Cash</v>
      </c>
      <c r="H65" t="str">
        <v>Thu Mar 05 2026</v>
      </c>
      <c r="I65" t="str">
        <v>Tue Mar 10 2026</v>
      </c>
    </row>
    <row r="66">
      <c r="A66">
        <v>2658</v>
      </c>
      <c r="B66" t="str">
        <v xml:space="preserve">Nanuram Prajapat </v>
      </c>
      <c r="C66" t="str">
        <v>Male</v>
      </c>
      <c r="D66">
        <v>10</v>
      </c>
      <c r="E66">
        <v>10</v>
      </c>
      <c r="F66">
        <v>0</v>
      </c>
      <c r="G66" t="str">
        <v>Cash</v>
      </c>
      <c r="H66" t="str">
        <v>Sat Mar 07 2026</v>
      </c>
      <c r="I66" t="str">
        <v>Tue Mar 10 2026</v>
      </c>
    </row>
    <row r="67">
      <c r="A67">
        <v>2592</v>
      </c>
      <c r="B67" t="str">
        <v xml:space="preserve">Tripti Yadav </v>
      </c>
      <c r="C67" t="str">
        <v>Female</v>
      </c>
      <c r="D67">
        <v>50</v>
      </c>
      <c r="E67">
        <v>50</v>
      </c>
      <c r="F67">
        <v>0</v>
      </c>
      <c r="G67" t="str">
        <v>Cash</v>
      </c>
      <c r="H67" t="str">
        <v>Thu Feb 26 2026</v>
      </c>
      <c r="I67" t="str">
        <v>Tue Mar 10 2026</v>
      </c>
    </row>
    <row r="68">
      <c r="A68">
        <v>2536</v>
      </c>
      <c r="B68" t="str">
        <v>Rajendra Yadav</v>
      </c>
      <c r="C68" t="str">
        <v>Male</v>
      </c>
      <c r="D68">
        <v>70</v>
      </c>
      <c r="E68">
        <v>70</v>
      </c>
      <c r="F68">
        <v>0</v>
      </c>
      <c r="G68" t="str">
        <v>Cash</v>
      </c>
      <c r="H68" t="str">
        <v>Sat Feb 21 2026</v>
      </c>
      <c r="I68" t="str">
        <v>Tue Mar 10 2026</v>
      </c>
    </row>
    <row r="69">
      <c r="A69">
        <v>2529</v>
      </c>
      <c r="B69" t="str">
        <v xml:space="preserve">Rajani Joshi </v>
      </c>
      <c r="C69" t="str">
        <v>Female</v>
      </c>
      <c r="D69">
        <v>70</v>
      </c>
      <c r="E69">
        <v>70</v>
      </c>
      <c r="F69">
        <v>0</v>
      </c>
      <c r="G69" t="str">
        <v>UPI</v>
      </c>
      <c r="H69" t="str">
        <v>Fri Feb 20 2026</v>
      </c>
      <c r="I69" t="str">
        <v>Tue Mar 10 2026</v>
      </c>
    </row>
    <row r="70">
      <c r="A70">
        <v>2496</v>
      </c>
      <c r="B70" t="str">
        <v xml:space="preserve">Urmila Sharma </v>
      </c>
      <c r="C70" t="str">
        <v>Female</v>
      </c>
      <c r="D70">
        <v>50</v>
      </c>
      <c r="E70">
        <v>50</v>
      </c>
      <c r="F70">
        <v>0</v>
      </c>
      <c r="G70" t="str">
        <v>UPI</v>
      </c>
      <c r="H70" t="str">
        <v>Sat Feb 14 2026</v>
      </c>
      <c r="I70" t="str">
        <v>Tue Mar 10 2026</v>
      </c>
    </row>
    <row r="71">
      <c r="A71">
        <v>2590</v>
      </c>
      <c r="B71" t="str">
        <v>Kanchan Bai</v>
      </c>
      <c r="C71" t="str">
        <v>Female</v>
      </c>
      <c r="D71">
        <v>50</v>
      </c>
      <c r="E71">
        <v>50</v>
      </c>
      <c r="F71">
        <v>0</v>
      </c>
      <c r="G71" t="str">
        <v>Cash</v>
      </c>
      <c r="H71" t="str">
        <v>Thu Feb 26 2026</v>
      </c>
      <c r="I71" t="str">
        <v>Tue Mar 10 2026</v>
      </c>
    </row>
    <row r="72">
      <c r="A72">
        <v>2644</v>
      </c>
      <c r="B72" t="str">
        <v>Laxmi Sambhariya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Fri Mar 06 2026</v>
      </c>
      <c r="I72" t="str">
        <v>Tue Mar 10 2026</v>
      </c>
    </row>
    <row r="73">
      <c r="A73">
        <v>2598</v>
      </c>
      <c r="B73" t="str">
        <v xml:space="preserve">Laxmi piplodiya </v>
      </c>
      <c r="C73" t="str">
        <v>Female</v>
      </c>
      <c r="D73">
        <v>50</v>
      </c>
      <c r="E73">
        <v>50</v>
      </c>
      <c r="F73">
        <v>0</v>
      </c>
      <c r="G73" t="str">
        <v>Cash</v>
      </c>
      <c r="H73" t="str">
        <v>Fri Feb 27 2026</v>
      </c>
      <c r="I73" t="str">
        <v>Tue Mar 10 2026</v>
      </c>
    </row>
    <row r="74">
      <c r="A74">
        <v>2656</v>
      </c>
      <c r="B74" t="str">
        <v xml:space="preserve">Aashish Verma </v>
      </c>
      <c r="C74" t="str">
        <v>Male</v>
      </c>
      <c r="D74">
        <v>50</v>
      </c>
      <c r="E74">
        <v>50</v>
      </c>
      <c r="F74">
        <v>0</v>
      </c>
      <c r="G74" t="str">
        <v>Cash</v>
      </c>
      <c r="H74" t="str">
        <v>Sat Mar 07 2026</v>
      </c>
      <c r="I74" t="str">
        <v>Tue Mar 10 2026</v>
      </c>
    </row>
    <row r="75">
      <c r="A75">
        <v>2617</v>
      </c>
      <c r="B75" t="str">
        <v xml:space="preserve">Kirti Jain </v>
      </c>
      <c r="C75" t="str">
        <v>Female</v>
      </c>
      <c r="D75">
        <v>70</v>
      </c>
      <c r="E75">
        <v>70</v>
      </c>
      <c r="F75">
        <v>0</v>
      </c>
      <c r="G75" t="str">
        <v>Cash</v>
      </c>
      <c r="H75" t="str">
        <v>Mon Mar 02 2026</v>
      </c>
      <c r="I75" t="str">
        <v>Tue Mar 10 2026</v>
      </c>
    </row>
    <row r="76">
      <c r="A76">
        <v>1928</v>
      </c>
      <c r="B76" t="str">
        <v xml:space="preserve">Sushma Kapur </v>
      </c>
      <c r="C76" t="str">
        <v>Female</v>
      </c>
      <c r="D76">
        <v>50</v>
      </c>
      <c r="E76">
        <v>0</v>
      </c>
      <c r="F76">
        <v>50</v>
      </c>
      <c r="G76" t="str">
        <v>Cash</v>
      </c>
      <c r="H76" t="str">
        <v>Tue Dec 02 2025</v>
      </c>
      <c r="I76" t="str">
        <v>Tue Mar 10 2026</v>
      </c>
    </row>
    <row r="77">
      <c r="A77">
        <v>2030</v>
      </c>
      <c r="B77" t="str">
        <v xml:space="preserve">Subhash Kapoor </v>
      </c>
      <c r="C77" t="str">
        <v>Male</v>
      </c>
      <c r="D77">
        <v>50</v>
      </c>
      <c r="E77">
        <v>0</v>
      </c>
      <c r="F77">
        <v>50</v>
      </c>
      <c r="G77" t="str">
        <v>Cash</v>
      </c>
      <c r="H77" t="str">
        <v>Mon Dec 15 2025</v>
      </c>
      <c r="I77" t="str">
        <v>Tue Mar 10 2026</v>
      </c>
    </row>
    <row r="78">
      <c r="A78">
        <v>2456</v>
      </c>
      <c r="B78" t="str">
        <v xml:space="preserve">D. P. Goyal </v>
      </c>
      <c r="C78" t="str">
        <v>Male</v>
      </c>
      <c r="D78">
        <v>50</v>
      </c>
      <c r="E78">
        <v>50</v>
      </c>
      <c r="F78">
        <v>0</v>
      </c>
      <c r="G78" t="str">
        <v>Cash</v>
      </c>
      <c r="H78" t="str">
        <v>Mon Feb 09 2026</v>
      </c>
      <c r="I78" t="str">
        <v>Tue Mar 10 2026</v>
      </c>
    </row>
    <row r="79">
      <c r="A79">
        <v>2548</v>
      </c>
      <c r="B79" t="str">
        <v xml:space="preserve">Renu Bhadouria </v>
      </c>
      <c r="C79" t="str">
        <v>Female</v>
      </c>
      <c r="D79">
        <v>50</v>
      </c>
      <c r="E79">
        <v>50</v>
      </c>
      <c r="F79">
        <v>0</v>
      </c>
      <c r="G79" t="str">
        <v>UPI</v>
      </c>
      <c r="H79" t="str">
        <v>Mon Feb 23 2026</v>
      </c>
      <c r="I79" t="str">
        <v>Tue Mar 10 2026</v>
      </c>
    </row>
    <row r="80">
      <c r="A80">
        <v>2634</v>
      </c>
      <c r="B80" t="str">
        <v xml:space="preserve">Rajesh Kashyap </v>
      </c>
      <c r="C80" t="str">
        <v>Male</v>
      </c>
      <c r="D80">
        <v>50</v>
      </c>
      <c r="E80">
        <v>50</v>
      </c>
      <c r="F80">
        <v>0</v>
      </c>
      <c r="G80" t="str">
        <v>Cash</v>
      </c>
      <c r="H80" t="str">
        <v>Thu Mar 05 2026</v>
      </c>
      <c r="I80" t="str">
        <v>Tue Mar 10 2026</v>
      </c>
    </row>
    <row r="81">
      <c r="A81">
        <v>2577</v>
      </c>
      <c r="B81" t="str">
        <v xml:space="preserve">Sunita Gupta </v>
      </c>
      <c r="C81" t="str">
        <v>Female</v>
      </c>
      <c r="D81">
        <v>50</v>
      </c>
      <c r="E81">
        <v>50</v>
      </c>
      <c r="F81">
        <v>0</v>
      </c>
      <c r="G81" t="str">
        <v>Cash</v>
      </c>
      <c r="H81" t="str">
        <v>Wed Feb 25 2026</v>
      </c>
      <c r="I81" t="str">
        <v>Tue Mar 10 2026</v>
      </c>
    </row>
    <row r="82">
      <c r="A82">
        <v>2648</v>
      </c>
      <c r="B82" t="str">
        <v xml:space="preserve">Paramvir Singh </v>
      </c>
      <c r="C82" t="str">
        <v>Male</v>
      </c>
      <c r="D82">
        <v>50</v>
      </c>
      <c r="E82">
        <v>50</v>
      </c>
      <c r="F82">
        <v>0</v>
      </c>
      <c r="G82" t="str">
        <v>Cash</v>
      </c>
      <c r="H82" t="str">
        <v>Fri Mar 06 2026</v>
      </c>
      <c r="I82" t="str">
        <v>Tue Mar 10 2026</v>
      </c>
    </row>
    <row r="83">
      <c r="A83">
        <v>2618</v>
      </c>
      <c r="B83" t="str">
        <v xml:space="preserve">Pramod Paliwal </v>
      </c>
      <c r="C83" t="str">
        <v>Male</v>
      </c>
      <c r="D83">
        <v>50</v>
      </c>
      <c r="E83">
        <v>50</v>
      </c>
      <c r="F83">
        <v>0</v>
      </c>
      <c r="G83" t="str">
        <v>Cash</v>
      </c>
      <c r="H83" t="str">
        <v>Mon Mar 02 2026</v>
      </c>
      <c r="I83" t="str">
        <v>Tue Mar 10 2026</v>
      </c>
    </row>
    <row r="84">
      <c r="A84">
        <v>2680</v>
      </c>
      <c r="B84" t="str">
        <v xml:space="preserve">Akbar khan </v>
      </c>
      <c r="C84" t="str">
        <v>Male</v>
      </c>
      <c r="D84">
        <v>110</v>
      </c>
      <c r="E84">
        <v>110</v>
      </c>
      <c r="F84">
        <v>0</v>
      </c>
      <c r="G84" t="str">
        <v>Cash</v>
      </c>
      <c r="H84" t="str">
        <v>Tue Mar 10 2026</v>
      </c>
      <c r="I84" t="str">
        <v>Tue Mar 10 2026</v>
      </c>
    </row>
    <row r="85">
      <c r="A85">
        <v>2681</v>
      </c>
      <c r="B85" t="str">
        <v xml:space="preserve">Krishna Khatri </v>
      </c>
      <c r="C85" t="str">
        <v>Male</v>
      </c>
      <c r="D85">
        <v>110</v>
      </c>
      <c r="E85">
        <v>110</v>
      </c>
      <c r="F85">
        <v>0</v>
      </c>
      <c r="G85" t="str">
        <v>UPI</v>
      </c>
      <c r="H85" t="str">
        <v>Tue Mar 10 2026</v>
      </c>
      <c r="I85" t="str">
        <v>Tue Mar 10 2026</v>
      </c>
    </row>
    <row r="86">
      <c r="A86">
        <v>2682</v>
      </c>
      <c r="B86" t="str">
        <v xml:space="preserve">Munni Goyal </v>
      </c>
      <c r="C86" t="str">
        <v>Female</v>
      </c>
      <c r="D86">
        <v>110</v>
      </c>
      <c r="E86">
        <v>110</v>
      </c>
      <c r="F86">
        <v>0</v>
      </c>
      <c r="G86" t="str">
        <v>Cash</v>
      </c>
      <c r="H86" t="str">
        <v>Tue Mar 10 2026</v>
      </c>
      <c r="I86" t="str">
        <v>Tue Mar 10 2026</v>
      </c>
    </row>
  </sheetData>
  <ignoredErrors>
    <ignoredError numberStoredAsText="1" sqref="A1:N8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82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Mon Mar 09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SUM(D10:D82)</f>
      </c>
      <c r="B7" t="e">
        <f t="array" ref="B7">SUM(E10:E82)</f>
      </c>
      <c r="C7" t="e">
        <f t="array" ref="C7">SUMIF(G10:G82, "Cash", E10:E82)</f>
      </c>
      <c r="D7" t="e">
        <f t="array" ref="D7">SUMIF(G10:G82, "UPI", E10:E82)</f>
      </c>
      <c r="E7" t="e">
        <f t="array" ref="E7">COUNTA(G10:G82)</f>
      </c>
      <c r="F7" t="e">
        <f t="array" ref="F7">COUNTIF(G10:G82, "Cash")</f>
      </c>
      <c r="G7" t="e">
        <f t="array" ref="G7">COUNTIF(G10:G82, "UPI")</f>
      </c>
      <c r="H7" t="e">
        <f t="array" ref="H7">SUM(F10:F82)</f>
      </c>
      <c r="I7" t="e">
        <f t="array" ref="I7">COUNT(FILTER(F10:F82, F10:F82=D10:D82))</f>
      </c>
      <c r="J7" t="e">
        <f t="array" ref="J7">IFERROR(ROWS(UNIQUE(FILTER(A10:A82,C10:C82="Male"))),0)</f>
      </c>
      <c r="K7" t="e">
        <f t="array" ref="K7">IFERROR(ROWS(UNIQUE(FILTER(A10:A82,C10:C82="Female"))),0)</f>
      </c>
      <c r="L7" t="e">
        <f t="array" ref="L7">IFERROR(ROWS(UNIQUE(FILTER(A10:A82,H10:H82=I10))),0)</f>
      </c>
      <c r="M7" t="e">
        <f t="array" ref="M7">IFERROR(ROWS(UNIQUE(FILTER(A10:A82,H10:H82&lt;&gt;I10))),0)</f>
      </c>
      <c r="N7" t="e">
        <f t="array" ref="N7">IFERROR(ROWS(UNIQUE(A10:A82)),0)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1917</v>
      </c>
      <c r="B10" t="str">
        <v xml:space="preserve">Ramesh Sharma 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Mon Dec 01 2025</v>
      </c>
      <c r="I10" t="str">
        <v>Mon Mar 09 2026</v>
      </c>
    </row>
    <row r="11">
      <c r="A11">
        <v>2573</v>
      </c>
      <c r="B11" t="str">
        <v xml:space="preserve">Manbir Singh </v>
      </c>
      <c r="C11" t="str">
        <v>Male</v>
      </c>
      <c r="D11">
        <v>50</v>
      </c>
      <c r="E11">
        <v>50</v>
      </c>
      <c r="F11">
        <v>0</v>
      </c>
      <c r="G11" t="str">
        <v>Cash</v>
      </c>
      <c r="H11" t="str">
        <v>Wed Feb 25 2026</v>
      </c>
      <c r="I11" t="str">
        <v>Mon Mar 09 2026</v>
      </c>
    </row>
    <row r="12">
      <c r="A12">
        <v>2569</v>
      </c>
      <c r="B12" t="str">
        <v>Suresh Malvi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Tue Feb 24 2026</v>
      </c>
      <c r="I12" t="str">
        <v>Mon Mar 09 2026</v>
      </c>
    </row>
    <row r="13">
      <c r="A13">
        <v>2471</v>
      </c>
      <c r="B13" t="str">
        <v>Ashwini Gundigawkar</v>
      </c>
      <c r="C13" t="str">
        <v>Female</v>
      </c>
      <c r="D13">
        <v>50</v>
      </c>
      <c r="E13">
        <v>50</v>
      </c>
      <c r="F13">
        <v>0</v>
      </c>
      <c r="G13" t="str">
        <v>Cash</v>
      </c>
      <c r="H13" t="str">
        <v>Wed Feb 11 2026</v>
      </c>
      <c r="I13" t="str">
        <v>Mon Mar 09 2026</v>
      </c>
    </row>
    <row r="14">
      <c r="A14">
        <v>2451</v>
      </c>
      <c r="B14" t="str">
        <v xml:space="preserve">Prakash Joshi </v>
      </c>
      <c r="C14" t="str">
        <v>Male</v>
      </c>
      <c r="D14">
        <v>70</v>
      </c>
      <c r="E14">
        <v>70</v>
      </c>
      <c r="F14">
        <v>0</v>
      </c>
      <c r="G14" t="str">
        <v>Cash</v>
      </c>
      <c r="H14" t="str">
        <v>Mon Feb 09 2026</v>
      </c>
      <c r="I14" t="str">
        <v>Mon Mar 09 2026</v>
      </c>
    </row>
    <row r="15">
      <c r="A15">
        <v>1645</v>
      </c>
      <c r="B15" t="str">
        <v>Jaiprakash Mishra</v>
      </c>
      <c r="C15" t="str">
        <v>Male</v>
      </c>
      <c r="D15">
        <v>50</v>
      </c>
      <c r="E15">
        <v>50</v>
      </c>
      <c r="F15">
        <v>0</v>
      </c>
      <c r="G15" t="str">
        <v>Cash</v>
      </c>
      <c r="H15" t="str">
        <v>Mon Oct 27 2025</v>
      </c>
      <c r="I15" t="str">
        <v>Mon Mar 09 2026</v>
      </c>
    </row>
    <row r="16">
      <c r="A16">
        <v>2623</v>
      </c>
      <c r="B16" t="str">
        <v xml:space="preserve">Priti Kashyap </v>
      </c>
      <c r="C16" t="str">
        <v>Female</v>
      </c>
      <c r="D16">
        <v>50</v>
      </c>
      <c r="E16">
        <v>50</v>
      </c>
      <c r="F16">
        <v>0</v>
      </c>
      <c r="G16" t="str">
        <v>Cash</v>
      </c>
      <c r="H16" t="str">
        <v>Thu Mar 05 2026</v>
      </c>
      <c r="I16" t="str">
        <v>Mon Mar 09 2026</v>
      </c>
    </row>
    <row r="17">
      <c r="A17">
        <v>2581</v>
      </c>
      <c r="B17" t="str">
        <v xml:space="preserve">Radheshyam Bhavsar </v>
      </c>
      <c r="C17" t="str">
        <v>Male</v>
      </c>
      <c r="D17">
        <v>50</v>
      </c>
      <c r="E17">
        <v>50</v>
      </c>
      <c r="F17">
        <v>0</v>
      </c>
      <c r="G17" t="str">
        <v>UPI</v>
      </c>
      <c r="H17" t="str">
        <v>Wed Feb 25 2026</v>
      </c>
      <c r="I17" t="str">
        <v>Mon Mar 09 2026</v>
      </c>
    </row>
    <row r="18">
      <c r="A18">
        <v>2618</v>
      </c>
      <c r="B18" t="str">
        <v xml:space="preserve">Pramod Paliwal </v>
      </c>
      <c r="C18" t="str">
        <v>Male</v>
      </c>
      <c r="D18">
        <v>50</v>
      </c>
      <c r="E18">
        <v>50</v>
      </c>
      <c r="F18">
        <v>0</v>
      </c>
      <c r="G18" t="str">
        <v>Cash</v>
      </c>
      <c r="H18" t="str">
        <v>Mon Mar 02 2026</v>
      </c>
      <c r="I18" t="str">
        <v>Mon Mar 09 2026</v>
      </c>
    </row>
    <row r="19">
      <c r="A19">
        <v>2661</v>
      </c>
      <c r="B19" t="str">
        <v xml:space="preserve">Manish Pancholi </v>
      </c>
      <c r="C19" t="str">
        <v>Male</v>
      </c>
      <c r="D19">
        <v>110</v>
      </c>
      <c r="E19">
        <v>110</v>
      </c>
      <c r="F19">
        <v>0</v>
      </c>
      <c r="G19" t="str">
        <v>UPI</v>
      </c>
      <c r="H19" t="str">
        <v>Mon Mar 09 2026</v>
      </c>
      <c r="I19" t="str">
        <v>Mon Mar 09 2026</v>
      </c>
    </row>
    <row r="20">
      <c r="A20">
        <v>2628</v>
      </c>
      <c r="B20" t="str">
        <v xml:space="preserve">Arun Gupta 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Thu Mar 05 2026</v>
      </c>
      <c r="I20" t="str">
        <v>Mon Mar 09 2026</v>
      </c>
    </row>
    <row r="21">
      <c r="A21">
        <v>2624</v>
      </c>
      <c r="B21" t="str">
        <v xml:space="preserve">Mukesh Chauhan </v>
      </c>
      <c r="C21" t="str">
        <v>Male</v>
      </c>
      <c r="D21">
        <v>50</v>
      </c>
      <c r="E21">
        <v>50</v>
      </c>
      <c r="F21">
        <v>0</v>
      </c>
      <c r="G21" t="str">
        <v>UPI</v>
      </c>
      <c r="H21" t="str">
        <v>Thu Mar 05 2026</v>
      </c>
      <c r="I21" t="str">
        <v>Mon Mar 09 2026</v>
      </c>
    </row>
    <row r="22">
      <c r="A22">
        <v>2650</v>
      </c>
      <c r="B22" t="str">
        <v xml:space="preserve">Shivkumar Morya </v>
      </c>
      <c r="C22" t="str">
        <v>Male</v>
      </c>
      <c r="D22">
        <v>50</v>
      </c>
      <c r="E22">
        <v>50</v>
      </c>
      <c r="F22">
        <v>0</v>
      </c>
      <c r="G22" t="str">
        <v>Cash</v>
      </c>
      <c r="H22" t="str">
        <v>Sat Mar 07 2026</v>
      </c>
      <c r="I22" t="str">
        <v>Mon Mar 09 2026</v>
      </c>
    </row>
    <row r="23">
      <c r="A23">
        <v>2289</v>
      </c>
      <c r="B23" t="str">
        <v xml:space="preserve">Jaibir Singh </v>
      </c>
      <c r="C23" t="str">
        <v>Male</v>
      </c>
      <c r="D23">
        <v>50</v>
      </c>
      <c r="E23">
        <v>50</v>
      </c>
      <c r="F23">
        <v>0</v>
      </c>
      <c r="G23" t="str">
        <v>Cash</v>
      </c>
      <c r="H23" t="str">
        <v>Tue Jan 20 2026</v>
      </c>
      <c r="I23" t="str">
        <v>Mon Mar 09 2026</v>
      </c>
    </row>
    <row r="24">
      <c r="A24">
        <v>2656</v>
      </c>
      <c r="B24" t="str">
        <v xml:space="preserve">Aashish Verma 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Sat Mar 07 2026</v>
      </c>
      <c r="I24" t="str">
        <v>Mon Mar 09 2026</v>
      </c>
    </row>
    <row r="25">
      <c r="A25">
        <v>2619</v>
      </c>
      <c r="B25" t="str">
        <v>Kailash Mathur</v>
      </c>
      <c r="C25" t="str">
        <v>Male</v>
      </c>
      <c r="D25">
        <v>50</v>
      </c>
      <c r="E25">
        <v>50</v>
      </c>
      <c r="F25">
        <v>0</v>
      </c>
      <c r="G25" t="str">
        <v>Cash</v>
      </c>
      <c r="H25" t="str">
        <v>Tue Mar 03 2026</v>
      </c>
      <c r="I25" t="str">
        <v>Mon Mar 09 2026</v>
      </c>
    </row>
    <row r="26">
      <c r="A26">
        <v>2638</v>
      </c>
      <c r="B26" t="str">
        <v xml:space="preserve">Kamalchand </v>
      </c>
      <c r="C26" t="str">
        <v>Male</v>
      </c>
      <c r="D26">
        <v>50</v>
      </c>
      <c r="E26">
        <v>50</v>
      </c>
      <c r="F26">
        <v>0</v>
      </c>
      <c r="G26" t="str">
        <v>Cash</v>
      </c>
      <c r="H26" t="str">
        <v>Fri Mar 06 2026</v>
      </c>
      <c r="I26" t="str">
        <v>Mon Mar 09 2026</v>
      </c>
    </row>
    <row r="27">
      <c r="A27">
        <v>2568</v>
      </c>
      <c r="B27" t="str">
        <v>Shakti Sen</v>
      </c>
      <c r="C27" t="str">
        <v>Male</v>
      </c>
      <c r="D27">
        <v>50</v>
      </c>
      <c r="E27">
        <v>50</v>
      </c>
      <c r="F27">
        <v>0</v>
      </c>
      <c r="G27" t="str">
        <v>UPI</v>
      </c>
      <c r="H27" t="str">
        <v>Tue Feb 24 2026</v>
      </c>
      <c r="I27" t="str">
        <v>Mon Mar 09 2026</v>
      </c>
    </row>
    <row r="28">
      <c r="A28">
        <v>2655</v>
      </c>
      <c r="B28" t="str">
        <v xml:space="preserve">Abhishek Dubey </v>
      </c>
      <c r="C28" t="str">
        <v>Male</v>
      </c>
      <c r="D28">
        <v>50</v>
      </c>
      <c r="E28">
        <v>50</v>
      </c>
      <c r="F28">
        <v>0</v>
      </c>
      <c r="G28" t="str">
        <v>Cash</v>
      </c>
      <c r="H28" t="str">
        <v>Sat Mar 07 2026</v>
      </c>
      <c r="I28" t="str">
        <v>Mon Mar 09 2026</v>
      </c>
    </row>
    <row r="29">
      <c r="A29">
        <v>2652</v>
      </c>
      <c r="B29" t="str">
        <v xml:space="preserve">Ganesh Patel </v>
      </c>
      <c r="C29" t="str">
        <v>Male</v>
      </c>
      <c r="D29">
        <v>50</v>
      </c>
      <c r="E29">
        <v>50</v>
      </c>
      <c r="F29">
        <v>0</v>
      </c>
      <c r="G29" t="str">
        <v>Cash</v>
      </c>
      <c r="H29" t="str">
        <v>Sat Mar 07 2026</v>
      </c>
      <c r="I29" t="str">
        <v>Mon Mar 09 2026</v>
      </c>
    </row>
    <row r="30">
      <c r="A30">
        <v>2641</v>
      </c>
      <c r="B30" t="str">
        <v xml:space="preserve">Anita Jain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Fri Mar 06 2026</v>
      </c>
      <c r="I30" t="str">
        <v>Mon Mar 09 2026</v>
      </c>
    </row>
    <row r="31">
      <c r="A31">
        <v>2640</v>
      </c>
      <c r="B31" t="str">
        <v xml:space="preserve">Antul Jain </v>
      </c>
      <c r="C31" t="str">
        <v>Male</v>
      </c>
      <c r="D31">
        <v>50</v>
      </c>
      <c r="E31">
        <v>50</v>
      </c>
      <c r="F31">
        <v>0</v>
      </c>
      <c r="G31" t="str">
        <v>Cash</v>
      </c>
      <c r="H31" t="str">
        <v>Fri Mar 06 2026</v>
      </c>
      <c r="I31" t="str">
        <v>Mon Mar 09 2026</v>
      </c>
    </row>
    <row r="32">
      <c r="A32">
        <v>2662</v>
      </c>
      <c r="B32" t="str">
        <v xml:space="preserve">Gajendra Khare </v>
      </c>
      <c r="C32" t="str">
        <v>Male</v>
      </c>
      <c r="D32">
        <v>100</v>
      </c>
      <c r="E32">
        <v>100</v>
      </c>
      <c r="F32">
        <v>0</v>
      </c>
      <c r="G32" t="str">
        <v>Cash</v>
      </c>
      <c r="H32" t="str">
        <v>Mon Mar 09 2026</v>
      </c>
      <c r="I32" t="str">
        <v>Mon Mar 09 2026</v>
      </c>
    </row>
    <row r="33">
      <c r="A33">
        <v>2654</v>
      </c>
      <c r="B33" t="str">
        <v xml:space="preserve">Kavita Pawar </v>
      </c>
      <c r="C33" t="str">
        <v>Female</v>
      </c>
      <c r="D33">
        <v>50</v>
      </c>
      <c r="E33">
        <v>50</v>
      </c>
      <c r="F33">
        <v>0</v>
      </c>
      <c r="G33" t="str">
        <v>Cash</v>
      </c>
      <c r="H33" t="str">
        <v>Sat Mar 07 2026</v>
      </c>
      <c r="I33" t="str">
        <v>Mon Mar 09 2026</v>
      </c>
    </row>
    <row r="34">
      <c r="A34">
        <v>2631</v>
      </c>
      <c r="B34" t="str">
        <v xml:space="preserve">Shubham Parihar </v>
      </c>
      <c r="C34" t="str">
        <v>Male</v>
      </c>
      <c r="D34">
        <v>50</v>
      </c>
      <c r="E34">
        <v>50</v>
      </c>
      <c r="F34">
        <v>0</v>
      </c>
      <c r="G34" t="str">
        <v>UPI</v>
      </c>
      <c r="H34" t="str">
        <v>Thu Mar 05 2026</v>
      </c>
      <c r="I34" t="str">
        <v>Mon Mar 09 2026</v>
      </c>
    </row>
    <row r="35">
      <c r="A35">
        <v>2574</v>
      </c>
      <c r="B35" t="str">
        <v xml:space="preserve">Kshama Lovanshi </v>
      </c>
      <c r="C35" t="str">
        <v>Female</v>
      </c>
      <c r="D35">
        <v>50</v>
      </c>
      <c r="E35">
        <v>50</v>
      </c>
      <c r="F35">
        <v>0</v>
      </c>
      <c r="G35" t="str">
        <v>Cash</v>
      </c>
      <c r="H35" t="str">
        <v>Wed Feb 25 2026</v>
      </c>
      <c r="I35" t="str">
        <v>Mon Mar 09 2026</v>
      </c>
    </row>
    <row r="36">
      <c r="A36">
        <v>2657</v>
      </c>
      <c r="B36" t="str">
        <v xml:space="preserve">Ankush lokhande </v>
      </c>
      <c r="C36" t="str">
        <v>Male</v>
      </c>
      <c r="D36">
        <v>50</v>
      </c>
      <c r="E36">
        <v>50</v>
      </c>
      <c r="F36">
        <v>0</v>
      </c>
      <c r="G36" t="str">
        <v>UPI</v>
      </c>
      <c r="H36" t="str">
        <v>Sat Mar 07 2026</v>
      </c>
      <c r="I36" t="str">
        <v>Mon Mar 09 2026</v>
      </c>
    </row>
    <row r="37">
      <c r="A37">
        <v>2588</v>
      </c>
      <c r="B37" t="str">
        <v>Krishna varma</v>
      </c>
      <c r="C37" t="str">
        <v>Female</v>
      </c>
      <c r="D37">
        <v>70</v>
      </c>
      <c r="E37">
        <v>70</v>
      </c>
      <c r="F37">
        <v>0</v>
      </c>
      <c r="G37" t="str">
        <v>Cash</v>
      </c>
      <c r="H37" t="str">
        <v>Thu Feb 26 2026</v>
      </c>
      <c r="I37" t="str">
        <v>Mon Mar 09 2026</v>
      </c>
    </row>
    <row r="38">
      <c r="A38">
        <v>2452</v>
      </c>
      <c r="B38" t="str">
        <v xml:space="preserve">B. S. Rajput </v>
      </c>
      <c r="C38" t="str">
        <v>Male</v>
      </c>
      <c r="D38">
        <v>50</v>
      </c>
      <c r="E38">
        <v>50</v>
      </c>
      <c r="F38">
        <v>0</v>
      </c>
      <c r="G38" t="str">
        <v>Cash</v>
      </c>
      <c r="H38" t="str">
        <v>Mon Feb 09 2026</v>
      </c>
      <c r="I38" t="str">
        <v>Mon Mar 09 2026</v>
      </c>
    </row>
    <row r="39">
      <c r="A39">
        <v>2663</v>
      </c>
      <c r="B39" t="str">
        <v xml:space="preserve">Reena joshi </v>
      </c>
      <c r="C39" t="str">
        <v>Female</v>
      </c>
      <c r="D39">
        <v>110</v>
      </c>
      <c r="E39">
        <v>110</v>
      </c>
      <c r="F39">
        <v>0</v>
      </c>
      <c r="G39" t="str">
        <v>Cash</v>
      </c>
      <c r="H39" t="str">
        <v>Mon Mar 09 2026</v>
      </c>
      <c r="I39" t="str">
        <v>Mon Mar 09 2026</v>
      </c>
    </row>
    <row r="40">
      <c r="A40">
        <v>2633</v>
      </c>
      <c r="B40" t="str">
        <v xml:space="preserve">Resham Baghel </v>
      </c>
      <c r="C40" t="str">
        <v>Female</v>
      </c>
      <c r="D40">
        <v>50</v>
      </c>
      <c r="E40">
        <v>50</v>
      </c>
      <c r="F40">
        <v>0</v>
      </c>
      <c r="G40" t="str">
        <v>Cash</v>
      </c>
      <c r="H40" t="str">
        <v>Thu Mar 05 2026</v>
      </c>
      <c r="I40" t="str">
        <v>Mon Mar 09 2026</v>
      </c>
    </row>
    <row r="41">
      <c r="A41">
        <v>2664</v>
      </c>
      <c r="B41" t="str">
        <v>Farzana</v>
      </c>
      <c r="C41" t="str">
        <v>Female</v>
      </c>
      <c r="D41">
        <v>110</v>
      </c>
      <c r="E41">
        <v>110</v>
      </c>
      <c r="F41">
        <v>0</v>
      </c>
      <c r="G41" t="str">
        <v>UPI</v>
      </c>
      <c r="H41" t="str">
        <v>Mon Mar 09 2026</v>
      </c>
      <c r="I41" t="str">
        <v>Mon Mar 09 2026</v>
      </c>
    </row>
    <row r="42">
      <c r="A42">
        <v>2626</v>
      </c>
      <c r="B42" t="str">
        <v xml:space="preserve">Lokesh Chouhan </v>
      </c>
      <c r="C42" t="str">
        <v>Male</v>
      </c>
      <c r="D42">
        <v>50</v>
      </c>
      <c r="E42">
        <v>50</v>
      </c>
      <c r="F42">
        <v>0</v>
      </c>
      <c r="G42" t="str">
        <v>UPI</v>
      </c>
      <c r="H42" t="str">
        <v>Thu Mar 05 2026</v>
      </c>
      <c r="I42" t="str">
        <v>Mon Mar 09 2026</v>
      </c>
    </row>
    <row r="43">
      <c r="A43">
        <v>2584</v>
      </c>
      <c r="B43" t="str">
        <v xml:space="preserve">Lokesh Raghuvanshi </v>
      </c>
      <c r="C43" t="str">
        <v>Male</v>
      </c>
      <c r="D43">
        <v>70</v>
      </c>
      <c r="E43">
        <v>70</v>
      </c>
      <c r="F43">
        <v>0</v>
      </c>
      <c r="G43" t="str">
        <v>UPI</v>
      </c>
      <c r="H43" t="str">
        <v>Thu Feb 26 2026</v>
      </c>
      <c r="I43" t="str">
        <v>Mon Mar 09 2026</v>
      </c>
    </row>
    <row r="44">
      <c r="A44">
        <v>2614</v>
      </c>
      <c r="B44" t="str">
        <v xml:space="preserve">Sushma Morya </v>
      </c>
      <c r="C44" t="str">
        <v>Female</v>
      </c>
      <c r="D44">
        <v>50</v>
      </c>
      <c r="E44">
        <v>50</v>
      </c>
      <c r="F44">
        <v>0</v>
      </c>
      <c r="G44" t="str">
        <v>Cash</v>
      </c>
      <c r="H44" t="str">
        <v>Mon Mar 02 2026</v>
      </c>
      <c r="I44" t="str">
        <v>Mon Mar 09 2026</v>
      </c>
    </row>
    <row r="45">
      <c r="A45">
        <v>2577</v>
      </c>
      <c r="B45" t="str">
        <v xml:space="preserve">Sunita Gupta </v>
      </c>
      <c r="C45" t="str">
        <v>Female</v>
      </c>
      <c r="D45">
        <v>50</v>
      </c>
      <c r="E45">
        <v>50</v>
      </c>
      <c r="F45">
        <v>0</v>
      </c>
      <c r="G45" t="str">
        <v>Cash</v>
      </c>
      <c r="H45" t="str">
        <v>Wed Feb 25 2026</v>
      </c>
      <c r="I45" t="str">
        <v>Mon Mar 09 2026</v>
      </c>
    </row>
    <row r="46">
      <c r="A46">
        <v>2645</v>
      </c>
      <c r="B46" t="str">
        <v xml:space="preserve">Adambai Prajapat 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Fri Mar 06 2026</v>
      </c>
      <c r="I46" t="str">
        <v>Mon Mar 09 2026</v>
      </c>
    </row>
    <row r="47">
      <c r="A47">
        <v>2629</v>
      </c>
      <c r="B47" t="str">
        <v>Surjit Adak</v>
      </c>
      <c r="C47" t="str">
        <v>Male</v>
      </c>
      <c r="D47">
        <v>50</v>
      </c>
      <c r="E47">
        <v>50</v>
      </c>
      <c r="F47">
        <v>0</v>
      </c>
      <c r="G47" t="str">
        <v>Cash</v>
      </c>
      <c r="H47" t="str">
        <v>Thu Mar 05 2026</v>
      </c>
      <c r="I47" t="str">
        <v>Mon Mar 09 2026</v>
      </c>
    </row>
    <row r="48">
      <c r="A48">
        <v>2524</v>
      </c>
      <c r="B48" t="str">
        <v xml:space="preserve">Govind Gupta </v>
      </c>
      <c r="C48" t="str">
        <v>Male</v>
      </c>
      <c r="D48">
        <v>50</v>
      </c>
      <c r="E48">
        <v>50</v>
      </c>
      <c r="F48">
        <v>0</v>
      </c>
      <c r="G48" t="str">
        <v>Cash</v>
      </c>
      <c r="H48" t="str">
        <v>Wed Feb 18 2026</v>
      </c>
      <c r="I48" t="str">
        <v>Mon Mar 09 2026</v>
      </c>
    </row>
    <row r="49">
      <c r="A49">
        <v>2382</v>
      </c>
      <c r="B49" t="str">
        <v xml:space="preserve">Vijay Rathore </v>
      </c>
      <c r="C49" t="str">
        <v>Male</v>
      </c>
      <c r="D49">
        <v>50</v>
      </c>
      <c r="E49">
        <v>50</v>
      </c>
      <c r="F49">
        <v>0</v>
      </c>
      <c r="G49" t="str">
        <v>UPI</v>
      </c>
      <c r="H49" t="str">
        <v>Mon Feb 02 2026</v>
      </c>
      <c r="I49" t="str">
        <v>Mon Mar 09 2026</v>
      </c>
    </row>
    <row r="50">
      <c r="A50">
        <v>2498</v>
      </c>
      <c r="B50" t="str">
        <v>Shanti Saad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Sat Feb 14 2026</v>
      </c>
      <c r="I50" t="str">
        <v>Mon Mar 09 2026</v>
      </c>
    </row>
    <row r="51">
      <c r="A51">
        <v>2606</v>
      </c>
      <c r="B51" t="str">
        <v xml:space="preserve">Subhash Porwal 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Sat Feb 28 2026</v>
      </c>
      <c r="I51" t="str">
        <v>Mon Mar 09 2026</v>
      </c>
    </row>
    <row r="52">
      <c r="A52">
        <v>2658</v>
      </c>
      <c r="B52" t="str">
        <v xml:space="preserve">Nanuram Prajapat </v>
      </c>
      <c r="C52" t="str">
        <v>Male</v>
      </c>
      <c r="D52">
        <v>50</v>
      </c>
      <c r="E52">
        <v>50</v>
      </c>
      <c r="F52">
        <v>0</v>
      </c>
      <c r="G52" t="str">
        <v>Cash</v>
      </c>
      <c r="H52" t="str">
        <v>Sat Mar 07 2026</v>
      </c>
      <c r="I52" t="str">
        <v>Mon Mar 09 2026</v>
      </c>
    </row>
    <row r="53">
      <c r="A53">
        <v>2598</v>
      </c>
      <c r="B53" t="str">
        <v xml:space="preserve">Laxmi piplodiya </v>
      </c>
      <c r="C53" t="str">
        <v>Female</v>
      </c>
      <c r="D53">
        <v>50</v>
      </c>
      <c r="E53">
        <v>50</v>
      </c>
      <c r="F53">
        <v>0</v>
      </c>
      <c r="G53" t="str">
        <v>Cash</v>
      </c>
      <c r="H53" t="str">
        <v>Fri Feb 27 2026</v>
      </c>
      <c r="I53" t="str">
        <v>Mon Mar 09 2026</v>
      </c>
    </row>
    <row r="54">
      <c r="A54">
        <v>2565</v>
      </c>
      <c r="B54" t="str">
        <v xml:space="preserve">Sadhana Pateriya </v>
      </c>
      <c r="C54" t="str">
        <v>Female</v>
      </c>
      <c r="D54">
        <v>70</v>
      </c>
      <c r="E54">
        <v>70</v>
      </c>
      <c r="F54">
        <v>0</v>
      </c>
      <c r="G54" t="str">
        <v>Cash</v>
      </c>
      <c r="H54" t="str">
        <v>Tue Feb 24 2026</v>
      </c>
      <c r="I54" t="str">
        <v>Mon Mar 09 2026</v>
      </c>
    </row>
    <row r="55">
      <c r="A55">
        <v>2528</v>
      </c>
      <c r="B55" t="str">
        <v xml:space="preserve">Rajeshwari Shukla </v>
      </c>
      <c r="C55" t="str">
        <v>Female</v>
      </c>
      <c r="D55">
        <v>50</v>
      </c>
      <c r="E55">
        <v>50</v>
      </c>
      <c r="F55">
        <v>0</v>
      </c>
      <c r="G55" t="str">
        <v>Cash</v>
      </c>
      <c r="H55" t="str">
        <v>Fri Feb 20 2026</v>
      </c>
      <c r="I55" t="str">
        <v>Mon Mar 09 2026</v>
      </c>
    </row>
    <row r="56">
      <c r="A56">
        <v>2644</v>
      </c>
      <c r="B56" t="str">
        <v>Laxmi Sambhariya</v>
      </c>
      <c r="C56" t="str">
        <v>Female</v>
      </c>
      <c r="D56">
        <v>50</v>
      </c>
      <c r="E56">
        <v>50</v>
      </c>
      <c r="F56">
        <v>0</v>
      </c>
      <c r="G56" t="str">
        <v>Cash</v>
      </c>
      <c r="H56" t="str">
        <v>Fri Mar 06 2026</v>
      </c>
      <c r="I56" t="str">
        <v>Mon Mar 09 2026</v>
      </c>
    </row>
    <row r="57">
      <c r="A57">
        <v>2529</v>
      </c>
      <c r="B57" t="str">
        <v xml:space="preserve">Rajani Joshi </v>
      </c>
      <c r="C57" t="str">
        <v>Female</v>
      </c>
      <c r="D57">
        <v>70</v>
      </c>
      <c r="E57">
        <v>70</v>
      </c>
      <c r="F57">
        <v>0</v>
      </c>
      <c r="G57" t="str">
        <v>UPI</v>
      </c>
      <c r="H57" t="str">
        <v>Fri Feb 20 2026</v>
      </c>
      <c r="I57" t="str">
        <v>Mon Mar 09 2026</v>
      </c>
    </row>
    <row r="58">
      <c r="A58">
        <v>2496</v>
      </c>
      <c r="B58" t="str">
        <v xml:space="preserve">Urmila Sharma </v>
      </c>
      <c r="C58" t="str">
        <v>Female</v>
      </c>
      <c r="D58">
        <v>50</v>
      </c>
      <c r="E58">
        <v>50</v>
      </c>
      <c r="F58">
        <v>0</v>
      </c>
      <c r="G58" t="str">
        <v>Cash</v>
      </c>
      <c r="H58" t="str">
        <v>Sat Feb 14 2026</v>
      </c>
      <c r="I58" t="str">
        <v>Mon Mar 09 2026</v>
      </c>
    </row>
    <row r="59">
      <c r="A59">
        <v>1928</v>
      </c>
      <c r="B59" t="str">
        <v xml:space="preserve">Sushma Kapur </v>
      </c>
      <c r="C59" t="str">
        <v>Female</v>
      </c>
      <c r="D59">
        <v>50</v>
      </c>
      <c r="E59">
        <v>0</v>
      </c>
      <c r="F59">
        <v>50</v>
      </c>
      <c r="G59" t="str">
        <v>Cash</v>
      </c>
      <c r="H59" t="str">
        <v>Tue Dec 02 2025</v>
      </c>
      <c r="I59" t="str">
        <v>Mon Mar 09 2026</v>
      </c>
    </row>
    <row r="60">
      <c r="A60">
        <v>2456</v>
      </c>
      <c r="B60" t="str">
        <v xml:space="preserve">D. P. Goyal </v>
      </c>
      <c r="C60" t="str">
        <v>Male</v>
      </c>
      <c r="D60">
        <v>110</v>
      </c>
      <c r="E60">
        <v>110</v>
      </c>
      <c r="F60">
        <v>0</v>
      </c>
      <c r="G60" t="str">
        <v>Cash</v>
      </c>
      <c r="H60" t="str">
        <v>Mon Feb 09 2026</v>
      </c>
      <c r="I60" t="str">
        <v>Mon Mar 09 2026</v>
      </c>
    </row>
    <row r="61">
      <c r="A61">
        <v>2590</v>
      </c>
      <c r="B61" t="str">
        <v>Kanchan Bai</v>
      </c>
      <c r="C61" t="str">
        <v>Female</v>
      </c>
      <c r="D61">
        <v>50</v>
      </c>
      <c r="E61">
        <v>50</v>
      </c>
      <c r="F61">
        <v>0</v>
      </c>
      <c r="G61" t="str">
        <v>Cash</v>
      </c>
      <c r="H61" t="str">
        <v>Thu Feb 26 2026</v>
      </c>
      <c r="I61" t="str">
        <v>Mon Mar 09 2026</v>
      </c>
    </row>
    <row r="62">
      <c r="A62">
        <v>2665</v>
      </c>
      <c r="B62" t="str">
        <v xml:space="preserve">Harish Mishra </v>
      </c>
      <c r="C62" t="str">
        <v>Male</v>
      </c>
      <c r="D62">
        <v>110</v>
      </c>
      <c r="E62">
        <v>110</v>
      </c>
      <c r="F62">
        <v>0</v>
      </c>
      <c r="G62" t="str">
        <v>Cash</v>
      </c>
      <c r="H62" t="str">
        <v>Mon Mar 09 2026</v>
      </c>
      <c r="I62" t="str">
        <v>Mon Mar 09 2026</v>
      </c>
    </row>
    <row r="63">
      <c r="A63">
        <v>2666</v>
      </c>
      <c r="B63" t="str">
        <v>Bharti Bhomik</v>
      </c>
      <c r="C63" t="str">
        <v>Female</v>
      </c>
      <c r="D63">
        <v>110</v>
      </c>
      <c r="E63">
        <v>110</v>
      </c>
      <c r="F63">
        <v>0</v>
      </c>
      <c r="G63" t="str">
        <v>Cash</v>
      </c>
      <c r="H63" t="str">
        <v>Mon Mar 09 2026</v>
      </c>
      <c r="I63" t="str">
        <v>Mon Mar 09 2026</v>
      </c>
    </row>
    <row r="64">
      <c r="A64">
        <v>2648</v>
      </c>
      <c r="B64" t="str">
        <v xml:space="preserve">Paramvir Singh </v>
      </c>
      <c r="C64" t="str">
        <v>Male</v>
      </c>
      <c r="D64">
        <v>50</v>
      </c>
      <c r="E64">
        <v>50</v>
      </c>
      <c r="F64">
        <v>0</v>
      </c>
      <c r="G64" t="str">
        <v>Cash</v>
      </c>
      <c r="H64" t="str">
        <v>Fri Mar 06 2026</v>
      </c>
      <c r="I64" t="str">
        <v>Mon Mar 09 2026</v>
      </c>
    </row>
    <row r="65">
      <c r="A65">
        <v>2617</v>
      </c>
      <c r="B65" t="str">
        <v xml:space="preserve">Kirti Jain </v>
      </c>
      <c r="C65" t="str">
        <v>Female</v>
      </c>
      <c r="D65">
        <v>70</v>
      </c>
      <c r="E65">
        <v>70</v>
      </c>
      <c r="F65">
        <v>0</v>
      </c>
      <c r="G65" t="str">
        <v>Cash</v>
      </c>
      <c r="H65" t="str">
        <v>Mon Mar 02 2026</v>
      </c>
      <c r="I65" t="str">
        <v>Mon Mar 09 2026</v>
      </c>
    </row>
    <row r="66">
      <c r="A66">
        <v>2667</v>
      </c>
      <c r="B66" t="str">
        <v xml:space="preserve">Abhishek Yadav </v>
      </c>
      <c r="C66" t="str">
        <v>Male</v>
      </c>
      <c r="D66">
        <v>110</v>
      </c>
      <c r="E66">
        <v>110</v>
      </c>
      <c r="F66">
        <v>0</v>
      </c>
      <c r="G66" t="str">
        <v>Cash</v>
      </c>
      <c r="H66" t="str">
        <v>Mon Mar 09 2026</v>
      </c>
      <c r="I66" t="str">
        <v>Mon Mar 09 2026</v>
      </c>
    </row>
    <row r="67">
      <c r="A67">
        <v>2668</v>
      </c>
      <c r="B67" t="str">
        <v xml:space="preserve">Rishab Tiwari </v>
      </c>
      <c r="C67" t="str">
        <v>Male</v>
      </c>
      <c r="D67">
        <v>110</v>
      </c>
      <c r="E67">
        <v>100</v>
      </c>
      <c r="F67">
        <v>10</v>
      </c>
      <c r="G67" t="str">
        <v>Cash</v>
      </c>
      <c r="H67" t="str">
        <v>Mon Mar 09 2026</v>
      </c>
      <c r="I67" t="str">
        <v>Mon Mar 09 2026</v>
      </c>
    </row>
    <row r="68">
      <c r="A68">
        <v>2669</v>
      </c>
      <c r="B68" t="str">
        <v>Jay Prakash Diya</v>
      </c>
      <c r="C68" t="str">
        <v>Male</v>
      </c>
      <c r="D68">
        <v>110</v>
      </c>
      <c r="E68">
        <v>110</v>
      </c>
      <c r="F68">
        <v>0</v>
      </c>
      <c r="G68" t="str">
        <v>UPI</v>
      </c>
      <c r="H68" t="str">
        <v>Mon Mar 09 2026</v>
      </c>
      <c r="I68" t="str">
        <v>Mon Mar 09 2026</v>
      </c>
    </row>
    <row r="69">
      <c r="A69">
        <v>2634</v>
      </c>
      <c r="B69" t="str">
        <v xml:space="preserve">Rajesh Kashyap </v>
      </c>
      <c r="C69" t="str">
        <v>Male</v>
      </c>
      <c r="D69">
        <v>50</v>
      </c>
      <c r="E69">
        <v>50</v>
      </c>
      <c r="F69">
        <v>0</v>
      </c>
      <c r="G69" t="str">
        <v>Cash</v>
      </c>
      <c r="H69" t="str">
        <v>Thu Mar 05 2026</v>
      </c>
      <c r="I69" t="str">
        <v>Mon Mar 09 2026</v>
      </c>
    </row>
    <row r="70">
      <c r="A70">
        <v>2637</v>
      </c>
      <c r="B70" t="str">
        <v xml:space="preserve">Aakash Chourasia </v>
      </c>
      <c r="C70" t="str">
        <v>Male</v>
      </c>
      <c r="D70">
        <v>50</v>
      </c>
      <c r="E70">
        <v>50</v>
      </c>
      <c r="F70">
        <v>0</v>
      </c>
      <c r="G70" t="str">
        <v>Cash</v>
      </c>
      <c r="H70" t="str">
        <v>Thu Mar 05 2026</v>
      </c>
      <c r="I70" t="str">
        <v>Mon Mar 09 2026</v>
      </c>
    </row>
    <row r="71">
      <c r="A71">
        <v>2548</v>
      </c>
      <c r="B71" t="str">
        <v xml:space="preserve">Renu Bhadouria </v>
      </c>
      <c r="C71" t="str">
        <v>Female</v>
      </c>
      <c r="D71">
        <v>50</v>
      </c>
      <c r="E71">
        <v>50</v>
      </c>
      <c r="F71">
        <v>0</v>
      </c>
      <c r="G71" t="str">
        <v>UPI</v>
      </c>
      <c r="H71" t="str">
        <v>Mon Feb 23 2026</v>
      </c>
      <c r="I71" t="str">
        <v>Mon Mar 09 2026</v>
      </c>
    </row>
    <row r="72">
      <c r="A72">
        <v>2552</v>
      </c>
      <c r="B72" t="str">
        <v>Priti Verma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Mon Feb 23 2026</v>
      </c>
      <c r="I72" t="str">
        <v>Mon Mar 09 2026</v>
      </c>
    </row>
    <row r="73">
      <c r="A73">
        <v>2670</v>
      </c>
      <c r="B73" t="str">
        <v>Manjulata Aragwal</v>
      </c>
      <c r="C73" t="str">
        <v>Female</v>
      </c>
      <c r="D73">
        <v>110</v>
      </c>
      <c r="E73">
        <v>110</v>
      </c>
      <c r="F73">
        <v>0</v>
      </c>
      <c r="G73" t="str">
        <v>Cash</v>
      </c>
      <c r="H73" t="str">
        <v>Mon Mar 09 2026</v>
      </c>
      <c r="I73" t="str">
        <v>Mon Mar 09 2026</v>
      </c>
    </row>
    <row r="74">
      <c r="A74">
        <v>2671</v>
      </c>
      <c r="B74" t="str">
        <v xml:space="preserve">Omprakash Agrawal </v>
      </c>
      <c r="C74" t="str">
        <v>Male</v>
      </c>
      <c r="D74">
        <v>110</v>
      </c>
      <c r="E74">
        <v>110</v>
      </c>
      <c r="F74">
        <v>0</v>
      </c>
      <c r="G74" t="str">
        <v>Cash</v>
      </c>
      <c r="H74" t="str">
        <v>Mon Mar 09 2026</v>
      </c>
      <c r="I74" t="str">
        <v>Mon Mar 09 2026</v>
      </c>
    </row>
    <row r="75">
      <c r="A75">
        <v>2672</v>
      </c>
      <c r="B75" t="str">
        <v xml:space="preserve">Pravin Vaishnav </v>
      </c>
      <c r="C75" t="str">
        <v>Male</v>
      </c>
      <c r="D75">
        <v>110</v>
      </c>
      <c r="E75">
        <v>110</v>
      </c>
      <c r="F75">
        <v>0</v>
      </c>
      <c r="G75" t="str">
        <v>UPI</v>
      </c>
      <c r="H75" t="str">
        <v>Mon Mar 09 2026</v>
      </c>
      <c r="I75" t="str">
        <v>Mon Mar 09 2026</v>
      </c>
    </row>
    <row r="76">
      <c r="A76">
        <v>2673</v>
      </c>
      <c r="B76" t="str">
        <v xml:space="preserve">Shekhar Chourasia </v>
      </c>
      <c r="C76" t="str">
        <v>Male</v>
      </c>
      <c r="D76">
        <v>110</v>
      </c>
      <c r="E76">
        <v>110</v>
      </c>
      <c r="F76">
        <v>0</v>
      </c>
      <c r="G76" t="str">
        <v>UPI</v>
      </c>
      <c r="H76" t="str">
        <v>Mon Mar 09 2026</v>
      </c>
      <c r="I76" t="str">
        <v>Mon Mar 09 2026</v>
      </c>
    </row>
    <row r="77">
      <c r="A77">
        <v>2635</v>
      </c>
      <c r="B77" t="str">
        <v xml:space="preserve">O. P. Joshi </v>
      </c>
      <c r="C77" t="str">
        <v>Male</v>
      </c>
      <c r="D77">
        <v>50</v>
      </c>
      <c r="E77">
        <v>50</v>
      </c>
      <c r="F77">
        <v>0</v>
      </c>
      <c r="G77" t="str">
        <v>Cash</v>
      </c>
      <c r="H77" t="str">
        <v>Thu Mar 05 2026</v>
      </c>
      <c r="I77" t="str">
        <v>Mon Mar 09 2026</v>
      </c>
    </row>
    <row r="78">
      <c r="A78">
        <v>2649</v>
      </c>
      <c r="B78" t="str">
        <v xml:space="preserve">Rupsingh Sisodiya </v>
      </c>
      <c r="C78" t="str">
        <v>Male</v>
      </c>
      <c r="D78">
        <v>50</v>
      </c>
      <c r="E78">
        <v>50</v>
      </c>
      <c r="F78">
        <v>0</v>
      </c>
      <c r="G78" t="str">
        <v>Cash</v>
      </c>
      <c r="H78" t="str">
        <v>Fri Mar 06 2026</v>
      </c>
      <c r="I78" t="str">
        <v>Mon Mar 09 2026</v>
      </c>
    </row>
    <row r="79">
      <c r="A79">
        <v>2649</v>
      </c>
      <c r="B79" t="str">
        <v xml:space="preserve">Rupsingh Sisodiya </v>
      </c>
      <c r="C79" t="str">
        <v>Male</v>
      </c>
      <c r="D79">
        <v>50</v>
      </c>
      <c r="E79">
        <v>50</v>
      </c>
      <c r="F79">
        <v>0</v>
      </c>
      <c r="G79" t="str">
        <v>Cash</v>
      </c>
      <c r="H79" t="str">
        <v>Fri Mar 06 2026</v>
      </c>
      <c r="I79" t="str">
        <v>Mon Mar 09 2026</v>
      </c>
    </row>
    <row r="80">
      <c r="A80">
        <v>2538</v>
      </c>
      <c r="B80" t="str">
        <v>Sunil Sasane</v>
      </c>
      <c r="C80" t="str">
        <v>Male</v>
      </c>
      <c r="D80">
        <v>50</v>
      </c>
      <c r="E80">
        <v>50</v>
      </c>
      <c r="F80">
        <v>0</v>
      </c>
      <c r="G80" t="str">
        <v>UPI</v>
      </c>
      <c r="H80" t="str">
        <v>Sat Feb 21 2026</v>
      </c>
      <c r="I80" t="str">
        <v>Mon Mar 09 2026</v>
      </c>
    </row>
    <row r="81">
      <c r="A81">
        <v>870</v>
      </c>
      <c r="B81" t="str">
        <v>Vinita Pancholi</v>
      </c>
      <c r="C81" t="str">
        <v>Female</v>
      </c>
      <c r="D81">
        <v>50</v>
      </c>
      <c r="E81">
        <v>0</v>
      </c>
      <c r="F81">
        <v>50</v>
      </c>
      <c r="G81" t="str">
        <v>Cash</v>
      </c>
      <c r="H81" t="str">
        <v>Sat Jul 05 2025</v>
      </c>
      <c r="I81" t="str">
        <v>Mon Mar 09 2026</v>
      </c>
    </row>
    <row r="82">
      <c r="A82">
        <v>996</v>
      </c>
      <c r="B82" t="str">
        <v>Sarita Rathor</v>
      </c>
      <c r="C82" t="str">
        <v>Female</v>
      </c>
      <c r="D82">
        <v>50</v>
      </c>
      <c r="E82">
        <v>0</v>
      </c>
      <c r="F82">
        <v>50</v>
      </c>
      <c r="G82" t="str">
        <v>Cash</v>
      </c>
      <c r="H82" t="str">
        <v>Sat Jul 19 2025</v>
      </c>
      <c r="I82" t="str">
        <v>Mon Mar 09 2026</v>
      </c>
    </row>
  </sheetData>
  <ignoredErrors>
    <ignoredError numberStoredAsText="1" sqref="A1:N8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N89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Sat Mar 07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SUM(D10:D89)</f>
      </c>
      <c r="B7" t="e">
        <f t="array" ref="B7">SUM(E10:E89)</f>
      </c>
      <c r="C7" t="e">
        <f t="array" ref="C7">SUMIF(G10:G89, "Cash", E10:E89)</f>
      </c>
      <c r="D7" t="e">
        <f t="array" ref="D7">SUMIF(G10:G89, "UPI", E10:E89)</f>
      </c>
      <c r="E7" t="e">
        <f t="array" ref="E7">COUNTA(G10:G89)</f>
      </c>
      <c r="F7" t="e">
        <f t="array" ref="F7">COUNTIF(G10:G89, "Cash")</f>
      </c>
      <c r="G7" t="e">
        <f t="array" ref="G7">COUNTIF(G10:G89, "UPI")</f>
      </c>
      <c r="H7" t="e">
        <f t="array" ref="H7">SUM(F10:F89)</f>
      </c>
      <c r="I7" t="e">
        <f t="array" ref="I7">COUNT(FILTER(F10:F89, F10:F89=D10:D89))</f>
      </c>
      <c r="J7" t="e">
        <f t="array" ref="J7">IFERROR(ROWS(UNIQUE(FILTER(A10:A89,C10:C89="Male"))),0)</f>
      </c>
      <c r="K7" t="e">
        <f t="array" ref="K7">IFERROR(ROWS(UNIQUE(FILTER(A10:A89,C10:C89="Female"))),0)</f>
      </c>
      <c r="L7" t="e">
        <f t="array" ref="L7">IFERROR(ROWS(UNIQUE(FILTER(A10:A89,H10:H89=I10))),0)</f>
      </c>
      <c r="M7" t="e">
        <f t="array" ref="M7">IFERROR(ROWS(UNIQUE(FILTER(A10:A89,H10:H89&lt;&gt;I10))),0)</f>
      </c>
      <c r="N7" t="e">
        <f t="array" ref="N7">IFERROR(ROWS(UNIQUE(A10:A89)),0)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1917</v>
      </c>
      <c r="B10" t="str">
        <v xml:space="preserve">Ramesh Sharma </v>
      </c>
      <c r="C10" t="str">
        <v>Male</v>
      </c>
      <c r="D10">
        <v>50</v>
      </c>
      <c r="E10">
        <v>50</v>
      </c>
      <c r="F10">
        <v>0</v>
      </c>
      <c r="G10" t="str">
        <v>Cash</v>
      </c>
      <c r="H10" t="str">
        <v>Mon Dec 01 2025</v>
      </c>
      <c r="I10" t="str">
        <v>Sat Mar 07 2026</v>
      </c>
    </row>
    <row r="11">
      <c r="A11">
        <v>2542</v>
      </c>
      <c r="B11" t="str">
        <v xml:space="preserve">Savita Singh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Mon Feb 23 2026</v>
      </c>
      <c r="I11" t="str">
        <v>Sat Mar 07 2026</v>
      </c>
    </row>
    <row r="12">
      <c r="A12">
        <v>2623</v>
      </c>
      <c r="B12" t="str">
        <v xml:space="preserve">Priti Kashyap </v>
      </c>
      <c r="C12" t="str">
        <v>Female</v>
      </c>
      <c r="D12">
        <v>50</v>
      </c>
      <c r="E12">
        <v>50</v>
      </c>
      <c r="F12">
        <v>0</v>
      </c>
      <c r="G12" t="str">
        <v>Cash</v>
      </c>
      <c r="H12" t="str">
        <v>Thu Mar 05 2026</v>
      </c>
      <c r="I12" t="str">
        <v>Sat Mar 07 2026</v>
      </c>
    </row>
    <row r="13">
      <c r="A13">
        <v>2583</v>
      </c>
      <c r="B13" t="str">
        <v xml:space="preserve">Laxman Pawar </v>
      </c>
      <c r="C13" t="str">
        <v>Male</v>
      </c>
      <c r="D13">
        <v>50</v>
      </c>
      <c r="E13">
        <v>50</v>
      </c>
      <c r="F13">
        <v>0</v>
      </c>
      <c r="G13" t="str">
        <v>UPI</v>
      </c>
      <c r="H13" t="str">
        <v>Thu Feb 26 2026</v>
      </c>
      <c r="I13" t="str">
        <v>Sat Mar 07 2026</v>
      </c>
    </row>
    <row r="14">
      <c r="A14">
        <v>2613</v>
      </c>
      <c r="B14" t="str">
        <v xml:space="preserve">Rohit Bansal 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Mar 02 2026</v>
      </c>
      <c r="I14" t="str">
        <v>Sat Mar 07 2026</v>
      </c>
    </row>
    <row r="15">
      <c r="A15">
        <v>1645</v>
      </c>
      <c r="B15" t="str">
        <v>Jaiprakash Mishra</v>
      </c>
      <c r="C15" t="str">
        <v>Male</v>
      </c>
      <c r="D15">
        <v>50</v>
      </c>
      <c r="E15">
        <v>50</v>
      </c>
      <c r="F15">
        <v>0</v>
      </c>
      <c r="G15" t="str">
        <v>Cash</v>
      </c>
      <c r="H15" t="str">
        <v>Mon Oct 27 2025</v>
      </c>
      <c r="I15" t="str">
        <v>Sat Mar 07 2026</v>
      </c>
    </row>
    <row r="16">
      <c r="A16">
        <v>2245</v>
      </c>
      <c r="B16" t="str">
        <v xml:space="preserve">Sachin Varma </v>
      </c>
      <c r="C16" t="str">
        <v>Male</v>
      </c>
      <c r="D16">
        <v>110</v>
      </c>
      <c r="E16">
        <v>110</v>
      </c>
      <c r="F16">
        <v>0</v>
      </c>
      <c r="G16" t="str">
        <v>UPI</v>
      </c>
      <c r="H16" t="str">
        <v>Fri Jan 16 2026</v>
      </c>
      <c r="I16" t="str">
        <v>Sat Mar 07 2026</v>
      </c>
    </row>
    <row r="17">
      <c r="A17">
        <v>2499</v>
      </c>
      <c r="B17" t="str">
        <v xml:space="preserve">Ramesh Chandra 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Sat Feb 14 2026</v>
      </c>
      <c r="I17" t="str">
        <v>Sat Mar 07 2026</v>
      </c>
    </row>
    <row r="18">
      <c r="A18">
        <v>2638</v>
      </c>
      <c r="B18" t="str">
        <v xml:space="preserve">Kamalchand </v>
      </c>
      <c r="C18" t="str">
        <v>Male</v>
      </c>
      <c r="D18">
        <v>60</v>
      </c>
      <c r="E18">
        <v>60</v>
      </c>
      <c r="F18">
        <v>0</v>
      </c>
      <c r="G18" t="str">
        <v>Cash</v>
      </c>
      <c r="H18" t="str">
        <v>Fri Mar 06 2026</v>
      </c>
      <c r="I18" t="str">
        <v>Sat Mar 07 2026</v>
      </c>
    </row>
    <row r="19">
      <c r="A19">
        <v>2612</v>
      </c>
      <c r="B19" t="str">
        <v xml:space="preserve">Minakshi Yadav </v>
      </c>
      <c r="C19" t="str">
        <v>Female</v>
      </c>
      <c r="D19">
        <v>50</v>
      </c>
      <c r="E19">
        <v>50</v>
      </c>
      <c r="F19">
        <v>0</v>
      </c>
      <c r="G19" t="str">
        <v>Cash</v>
      </c>
      <c r="H19" t="str">
        <v>Mon Mar 02 2026</v>
      </c>
      <c r="I19" t="str">
        <v>Sat Mar 07 2026</v>
      </c>
    </row>
    <row r="20">
      <c r="A20">
        <v>2640</v>
      </c>
      <c r="B20" t="str">
        <v xml:space="preserve">Antul Jain 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Fri Mar 06 2026</v>
      </c>
      <c r="I20" t="str">
        <v>Sat Mar 07 2026</v>
      </c>
    </row>
    <row r="21">
      <c r="A21">
        <v>2624</v>
      </c>
      <c r="B21" t="str">
        <v xml:space="preserve">Mukesh Chauhan </v>
      </c>
      <c r="C21" t="str">
        <v>Male</v>
      </c>
      <c r="D21">
        <v>50</v>
      </c>
      <c r="E21">
        <v>50</v>
      </c>
      <c r="F21">
        <v>0</v>
      </c>
      <c r="G21" t="str">
        <v>UPI</v>
      </c>
      <c r="H21" t="str">
        <v>Thu Mar 05 2026</v>
      </c>
      <c r="I21" t="str">
        <v>Sat Mar 07 2026</v>
      </c>
    </row>
    <row r="22">
      <c r="A22">
        <v>1437</v>
      </c>
      <c r="B22" t="str">
        <v>Suraj Dharve</v>
      </c>
      <c r="C22" t="str">
        <v>Female</v>
      </c>
      <c r="D22">
        <v>50</v>
      </c>
      <c r="E22">
        <v>0</v>
      </c>
      <c r="F22">
        <v>50</v>
      </c>
      <c r="G22" t="str">
        <v>Cash</v>
      </c>
      <c r="H22" t="str">
        <v>Fri Sep 19 2025</v>
      </c>
      <c r="I22" t="str">
        <v>Sat Mar 07 2026</v>
      </c>
    </row>
    <row r="23">
      <c r="A23">
        <v>996</v>
      </c>
      <c r="B23" t="str">
        <v>Sarita Rathor</v>
      </c>
      <c r="C23" t="str">
        <v>Female</v>
      </c>
      <c r="D23">
        <v>50</v>
      </c>
      <c r="E23">
        <v>0</v>
      </c>
      <c r="F23">
        <v>50</v>
      </c>
      <c r="G23" t="str">
        <v>Cash</v>
      </c>
      <c r="H23" t="str">
        <v>Sat Jul 19 2025</v>
      </c>
      <c r="I23" t="str">
        <v>Sat Mar 07 2026</v>
      </c>
    </row>
    <row r="24">
      <c r="A24">
        <v>2161</v>
      </c>
      <c r="B24" t="str">
        <v xml:space="preserve">Pooja Rathor </v>
      </c>
      <c r="C24" t="str">
        <v>Female</v>
      </c>
      <c r="D24">
        <v>50</v>
      </c>
      <c r="E24">
        <v>0</v>
      </c>
      <c r="F24">
        <v>50</v>
      </c>
      <c r="G24" t="str">
        <v>Cash</v>
      </c>
      <c r="H24" t="str">
        <v>Thu Jan 01 2026</v>
      </c>
      <c r="I24" t="str">
        <v>Sat Mar 07 2026</v>
      </c>
    </row>
    <row r="25">
      <c r="A25">
        <v>870</v>
      </c>
      <c r="B25" t="str">
        <v>Vinita Pancholi</v>
      </c>
      <c r="C25" t="str">
        <v>Female</v>
      </c>
      <c r="D25">
        <v>50</v>
      </c>
      <c r="E25">
        <v>0</v>
      </c>
      <c r="F25">
        <v>50</v>
      </c>
      <c r="G25" t="str">
        <v>Cash</v>
      </c>
      <c r="H25" t="str">
        <v>Sat Jul 05 2025</v>
      </c>
      <c r="I25" t="str">
        <v>Sat Mar 07 2026</v>
      </c>
    </row>
    <row r="26">
      <c r="A26">
        <v>1105</v>
      </c>
      <c r="B26" t="str">
        <v>Komal Patil</v>
      </c>
      <c r="C26" t="str">
        <v>Female</v>
      </c>
      <c r="D26">
        <v>50</v>
      </c>
      <c r="E26">
        <v>0</v>
      </c>
      <c r="F26">
        <v>50</v>
      </c>
      <c r="G26" t="str">
        <v>Cash</v>
      </c>
      <c r="H26" t="str">
        <v>Sat Aug 02 2025</v>
      </c>
      <c r="I26" t="str">
        <v>Sat Mar 07 2026</v>
      </c>
    </row>
    <row r="27">
      <c r="A27">
        <v>2451</v>
      </c>
      <c r="B27" t="str">
        <v xml:space="preserve">Prakash Joshi </v>
      </c>
      <c r="C27" t="str">
        <v>Male</v>
      </c>
      <c r="D27">
        <v>70</v>
      </c>
      <c r="E27">
        <v>70</v>
      </c>
      <c r="F27">
        <v>0</v>
      </c>
      <c r="G27" t="str">
        <v>Cash</v>
      </c>
      <c r="H27" t="str">
        <v>Mon Feb 09 2026</v>
      </c>
      <c r="I27" t="str">
        <v>Sat Mar 07 2026</v>
      </c>
    </row>
    <row r="28">
      <c r="A28">
        <v>2650</v>
      </c>
      <c r="B28" t="str">
        <v xml:space="preserve">Shivkumar Morya </v>
      </c>
      <c r="C28" t="str">
        <v>Male</v>
      </c>
      <c r="D28">
        <v>110</v>
      </c>
      <c r="E28">
        <v>110</v>
      </c>
      <c r="F28">
        <v>0</v>
      </c>
      <c r="G28" t="str">
        <v>Cash</v>
      </c>
      <c r="H28" t="str">
        <v>Sat Mar 07 2026</v>
      </c>
      <c r="I28" t="str">
        <v>Sat Mar 07 2026</v>
      </c>
    </row>
    <row r="29">
      <c r="A29">
        <v>2651</v>
      </c>
      <c r="B29" t="str">
        <v xml:space="preserve">Sarika Varma </v>
      </c>
      <c r="C29" t="str">
        <v>Female</v>
      </c>
      <c r="D29">
        <v>110</v>
      </c>
      <c r="E29">
        <v>110</v>
      </c>
      <c r="F29">
        <v>0</v>
      </c>
      <c r="G29" t="str">
        <v>UPI</v>
      </c>
      <c r="H29" t="str">
        <v>Sat Mar 07 2026</v>
      </c>
      <c r="I29" t="str">
        <v>Sat Mar 07 2026</v>
      </c>
    </row>
    <row r="30">
      <c r="A30">
        <v>2471</v>
      </c>
      <c r="B30" t="str">
        <v>Ashwini Gundigawkar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Wed Feb 11 2026</v>
      </c>
      <c r="I30" t="str">
        <v>Sat Mar 07 2026</v>
      </c>
    </row>
    <row r="31">
      <c r="A31">
        <v>2544</v>
      </c>
      <c r="B31" t="str">
        <v>Nitin singh</v>
      </c>
      <c r="C31" t="str">
        <v>Male</v>
      </c>
      <c r="D31">
        <v>50</v>
      </c>
      <c r="E31">
        <v>50</v>
      </c>
      <c r="F31">
        <v>0</v>
      </c>
      <c r="G31" t="str">
        <v>Cash</v>
      </c>
      <c r="H31" t="str">
        <v>Mon Feb 23 2026</v>
      </c>
      <c r="I31" t="str">
        <v>Sat Mar 07 2026</v>
      </c>
    </row>
    <row r="32">
      <c r="A32">
        <v>2652</v>
      </c>
      <c r="B32" t="str">
        <v xml:space="preserve">Ganesh Patel </v>
      </c>
      <c r="C32" t="str">
        <v>Male</v>
      </c>
      <c r="D32">
        <v>110</v>
      </c>
      <c r="E32">
        <v>110</v>
      </c>
      <c r="F32">
        <v>0</v>
      </c>
      <c r="G32" t="str">
        <v>Cash</v>
      </c>
      <c r="H32" t="str">
        <v>Sat Mar 07 2026</v>
      </c>
      <c r="I32" t="str">
        <v>Sat Mar 07 2026</v>
      </c>
    </row>
    <row r="33">
      <c r="A33">
        <v>2581</v>
      </c>
      <c r="B33" t="str">
        <v xml:space="preserve">Radheshyam Bhavsar </v>
      </c>
      <c r="C33" t="str">
        <v>Male</v>
      </c>
      <c r="D33">
        <v>50</v>
      </c>
      <c r="E33">
        <v>50</v>
      </c>
      <c r="F33">
        <v>0</v>
      </c>
      <c r="G33" t="str">
        <v>UPI</v>
      </c>
      <c r="H33" t="str">
        <v>Wed Feb 25 2026</v>
      </c>
      <c r="I33" t="str">
        <v>Sat Mar 07 2026</v>
      </c>
    </row>
    <row r="34">
      <c r="A34">
        <v>2642</v>
      </c>
      <c r="B34" t="str">
        <v>Iti Jain</v>
      </c>
      <c r="C34" t="str">
        <v>Female</v>
      </c>
      <c r="D34">
        <v>50</v>
      </c>
      <c r="E34">
        <v>50</v>
      </c>
      <c r="F34">
        <v>0</v>
      </c>
      <c r="G34" t="str">
        <v>Cash</v>
      </c>
      <c r="H34" t="str">
        <v>Fri Mar 06 2026</v>
      </c>
      <c r="I34" t="str">
        <v>Sat Mar 07 2026</v>
      </c>
    </row>
    <row r="35">
      <c r="A35">
        <v>2641</v>
      </c>
      <c r="B35" t="str">
        <v xml:space="preserve">Anita Jain </v>
      </c>
      <c r="C35" t="str">
        <v>Female</v>
      </c>
      <c r="D35">
        <v>50</v>
      </c>
      <c r="E35">
        <v>50</v>
      </c>
      <c r="F35">
        <v>0</v>
      </c>
      <c r="G35" t="str">
        <v>Cash</v>
      </c>
      <c r="H35" t="str">
        <v>Fri Mar 06 2026</v>
      </c>
      <c r="I35" t="str">
        <v>Sat Mar 07 2026</v>
      </c>
    </row>
    <row r="36">
      <c r="A36">
        <v>2528</v>
      </c>
      <c r="B36" t="str">
        <v xml:space="preserve">Rajeshwari Shukla </v>
      </c>
      <c r="C36" t="str">
        <v>Female</v>
      </c>
      <c r="D36">
        <v>50</v>
      </c>
      <c r="E36">
        <v>50</v>
      </c>
      <c r="F36">
        <v>0</v>
      </c>
      <c r="G36" t="str">
        <v>Cash</v>
      </c>
      <c r="H36" t="str">
        <v>Fri Feb 20 2026</v>
      </c>
      <c r="I36" t="str">
        <v>Sat Mar 07 2026</v>
      </c>
    </row>
    <row r="37">
      <c r="A37">
        <v>2653</v>
      </c>
      <c r="B37" t="str">
        <v xml:space="preserve">Urvashi Jain </v>
      </c>
      <c r="C37" t="str">
        <v>Female</v>
      </c>
      <c r="D37">
        <v>110</v>
      </c>
      <c r="E37">
        <v>110</v>
      </c>
      <c r="F37">
        <v>0</v>
      </c>
      <c r="G37" t="str">
        <v>Cash</v>
      </c>
      <c r="H37" t="str">
        <v>Sat Mar 07 2026</v>
      </c>
      <c r="I37" t="str">
        <v>Sat Mar 07 2026</v>
      </c>
    </row>
    <row r="38">
      <c r="A38">
        <v>2611</v>
      </c>
      <c r="B38" t="str">
        <v>Maya Shipankar</v>
      </c>
      <c r="C38" t="str">
        <v>Female</v>
      </c>
      <c r="D38">
        <v>50</v>
      </c>
      <c r="E38">
        <v>50</v>
      </c>
      <c r="F38">
        <v>0</v>
      </c>
      <c r="G38" t="str">
        <v>Cash</v>
      </c>
      <c r="H38" t="str">
        <v>Mon Mar 02 2026</v>
      </c>
      <c r="I38" t="str">
        <v>Sat Mar 07 2026</v>
      </c>
    </row>
    <row r="39">
      <c r="A39">
        <v>2568</v>
      </c>
      <c r="B39" t="str">
        <v>Shakti Sen</v>
      </c>
      <c r="C39" t="str">
        <v>Male</v>
      </c>
      <c r="D39">
        <v>50</v>
      </c>
      <c r="E39">
        <v>50</v>
      </c>
      <c r="F39">
        <v>0</v>
      </c>
      <c r="G39" t="str">
        <v>UPI</v>
      </c>
      <c r="H39" t="str">
        <v>Tue Feb 24 2026</v>
      </c>
      <c r="I39" t="str">
        <v>Sat Mar 07 2026</v>
      </c>
    </row>
    <row r="40">
      <c r="A40">
        <v>2600</v>
      </c>
      <c r="B40" t="str">
        <v xml:space="preserve">Kiran Soni </v>
      </c>
      <c r="C40" t="str">
        <v>Female</v>
      </c>
      <c r="D40">
        <v>70</v>
      </c>
      <c r="E40">
        <v>70</v>
      </c>
      <c r="F40">
        <v>0</v>
      </c>
      <c r="G40" t="str">
        <v>Cash</v>
      </c>
      <c r="H40" t="str">
        <v>Sat Feb 28 2026</v>
      </c>
      <c r="I40" t="str">
        <v>Sat Mar 07 2026</v>
      </c>
    </row>
    <row r="41">
      <c r="A41">
        <v>2646</v>
      </c>
      <c r="B41" t="str">
        <v xml:space="preserve">Mira Varma </v>
      </c>
      <c r="C41" t="str">
        <v>Female</v>
      </c>
      <c r="D41">
        <v>50</v>
      </c>
      <c r="E41">
        <v>50</v>
      </c>
      <c r="F41">
        <v>0</v>
      </c>
      <c r="G41" t="str">
        <v>Cash</v>
      </c>
      <c r="H41" t="str">
        <v>Fri Mar 06 2026</v>
      </c>
      <c r="I41" t="str">
        <v>Sat Mar 07 2026</v>
      </c>
    </row>
    <row r="42">
      <c r="A42">
        <v>2382</v>
      </c>
      <c r="B42" t="str">
        <v xml:space="preserve">Vijay Rathore </v>
      </c>
      <c r="C42" t="str">
        <v>Male</v>
      </c>
      <c r="D42">
        <v>50</v>
      </c>
      <c r="E42">
        <v>50</v>
      </c>
      <c r="F42">
        <v>0</v>
      </c>
      <c r="G42" t="str">
        <v>UPI</v>
      </c>
      <c r="H42" t="str">
        <v>Mon Feb 02 2026</v>
      </c>
      <c r="I42" t="str">
        <v>Sat Mar 07 2026</v>
      </c>
    </row>
    <row r="43">
      <c r="A43">
        <v>2594</v>
      </c>
      <c r="B43" t="str">
        <v xml:space="preserve">Lila Raghuvanshi </v>
      </c>
      <c r="C43" t="str">
        <v>Female</v>
      </c>
      <c r="D43">
        <v>70</v>
      </c>
      <c r="E43">
        <v>70</v>
      </c>
      <c r="F43">
        <v>0</v>
      </c>
      <c r="G43" t="str">
        <v>Cash</v>
      </c>
      <c r="H43" t="str">
        <v>Fri Feb 27 2026</v>
      </c>
      <c r="I43" t="str">
        <v>Sat Mar 07 2026</v>
      </c>
    </row>
    <row r="44">
      <c r="A44">
        <v>2626</v>
      </c>
      <c r="B44" t="str">
        <v xml:space="preserve">Lokesh Chouhan </v>
      </c>
      <c r="C44" t="str">
        <v>Male</v>
      </c>
      <c r="D44">
        <v>50</v>
      </c>
      <c r="E44">
        <v>50</v>
      </c>
      <c r="F44">
        <v>0</v>
      </c>
      <c r="G44" t="str">
        <v>UPI</v>
      </c>
      <c r="H44" t="str">
        <v>Thu Mar 05 2026</v>
      </c>
      <c r="I44" t="str">
        <v>Sat Mar 07 2026</v>
      </c>
    </row>
    <row r="45">
      <c r="A45">
        <v>2574</v>
      </c>
      <c r="B45" t="str">
        <v xml:space="preserve">Kshama Lovanshi </v>
      </c>
      <c r="C45" t="str">
        <v>Female</v>
      </c>
      <c r="D45">
        <v>50</v>
      </c>
      <c r="E45">
        <v>50</v>
      </c>
      <c r="F45">
        <v>0</v>
      </c>
      <c r="G45" t="str">
        <v>Cash</v>
      </c>
      <c r="H45" t="str">
        <v>Wed Feb 25 2026</v>
      </c>
      <c r="I45" t="str">
        <v>Sat Mar 07 2026</v>
      </c>
    </row>
    <row r="46">
      <c r="A46">
        <v>2498</v>
      </c>
      <c r="B46" t="str">
        <v>Shanti Saad</v>
      </c>
      <c r="C46" t="str">
        <v>Female</v>
      </c>
      <c r="D46">
        <v>50</v>
      </c>
      <c r="E46">
        <v>50</v>
      </c>
      <c r="F46">
        <v>0</v>
      </c>
      <c r="G46" t="str">
        <v>UPI</v>
      </c>
      <c r="H46" t="str">
        <v>Sat Feb 14 2026</v>
      </c>
      <c r="I46" t="str">
        <v>Sat Mar 07 2026</v>
      </c>
    </row>
    <row r="47">
      <c r="A47">
        <v>2628</v>
      </c>
      <c r="B47" t="str">
        <v xml:space="preserve">Arun Gupta </v>
      </c>
      <c r="C47" t="str">
        <v>Male</v>
      </c>
      <c r="D47">
        <v>50</v>
      </c>
      <c r="E47">
        <v>50</v>
      </c>
      <c r="F47">
        <v>0</v>
      </c>
      <c r="G47" t="str">
        <v>Cash</v>
      </c>
      <c r="H47" t="str">
        <v>Thu Mar 05 2026</v>
      </c>
      <c r="I47" t="str">
        <v>Sat Mar 07 2026</v>
      </c>
    </row>
    <row r="48">
      <c r="A48">
        <v>2569</v>
      </c>
      <c r="B48" t="str">
        <v>Suresh Malvi</v>
      </c>
      <c r="C48" t="str">
        <v>Male</v>
      </c>
      <c r="D48">
        <v>70</v>
      </c>
      <c r="E48">
        <v>70</v>
      </c>
      <c r="F48">
        <v>0</v>
      </c>
      <c r="G48" t="str">
        <v>Cash</v>
      </c>
      <c r="H48" t="str">
        <v>Tue Feb 24 2026</v>
      </c>
      <c r="I48" t="str">
        <v>Sat Mar 07 2026</v>
      </c>
    </row>
    <row r="49">
      <c r="A49">
        <v>2619</v>
      </c>
      <c r="B49" t="str">
        <v>Kailash Mathur</v>
      </c>
      <c r="C49" t="str">
        <v>Male</v>
      </c>
      <c r="D49">
        <v>50</v>
      </c>
      <c r="E49">
        <v>50</v>
      </c>
      <c r="F49">
        <v>0</v>
      </c>
      <c r="G49" t="str">
        <v>Cash</v>
      </c>
      <c r="H49" t="str">
        <v>Tue Mar 03 2026</v>
      </c>
      <c r="I49" t="str">
        <v>Sat Mar 07 2026</v>
      </c>
    </row>
    <row r="50">
      <c r="A50">
        <v>2643</v>
      </c>
      <c r="B50" t="str">
        <v xml:space="preserve">Bhagvati Prasad </v>
      </c>
      <c r="C50" t="str">
        <v>Male</v>
      </c>
      <c r="D50">
        <v>70</v>
      </c>
      <c r="E50">
        <v>70</v>
      </c>
      <c r="F50">
        <v>0</v>
      </c>
      <c r="G50" t="str">
        <v>Cash</v>
      </c>
      <c r="H50" t="str">
        <v>Fri Mar 06 2026</v>
      </c>
      <c r="I50" t="str">
        <v>Sat Mar 07 2026</v>
      </c>
    </row>
    <row r="51">
      <c r="A51">
        <v>2573</v>
      </c>
      <c r="B51" t="str">
        <v xml:space="preserve">Manbir Singh 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Wed Feb 25 2026</v>
      </c>
      <c r="I51" t="str">
        <v>Sat Mar 07 2026</v>
      </c>
    </row>
    <row r="52">
      <c r="A52">
        <v>2584</v>
      </c>
      <c r="B52" t="str">
        <v xml:space="preserve">Lokesh Raghuvanshi </v>
      </c>
      <c r="C52" t="str">
        <v>Male</v>
      </c>
      <c r="D52">
        <v>70</v>
      </c>
      <c r="E52">
        <v>70</v>
      </c>
      <c r="F52">
        <v>0</v>
      </c>
      <c r="G52" t="str">
        <v>UPI</v>
      </c>
      <c r="H52" t="str">
        <v>Thu Feb 26 2026</v>
      </c>
      <c r="I52" t="str">
        <v>Sat Mar 07 2026</v>
      </c>
    </row>
    <row r="53">
      <c r="A53">
        <v>2577</v>
      </c>
      <c r="B53" t="str">
        <v xml:space="preserve">Sunita Gupta </v>
      </c>
      <c r="C53" t="str">
        <v>Female</v>
      </c>
      <c r="D53">
        <v>50</v>
      </c>
      <c r="E53">
        <v>50</v>
      </c>
      <c r="F53">
        <v>0</v>
      </c>
      <c r="G53" t="str">
        <v>Cash</v>
      </c>
      <c r="H53" t="str">
        <v>Wed Feb 25 2026</v>
      </c>
      <c r="I53" t="str">
        <v>Sat Mar 07 2026</v>
      </c>
    </row>
    <row r="54">
      <c r="A54">
        <v>2588</v>
      </c>
      <c r="B54" t="str">
        <v>Krishna varma</v>
      </c>
      <c r="C54" t="str">
        <v>Female</v>
      </c>
      <c r="D54">
        <v>70</v>
      </c>
      <c r="E54">
        <v>70</v>
      </c>
      <c r="F54">
        <v>0</v>
      </c>
      <c r="G54" t="str">
        <v>Cash</v>
      </c>
      <c r="H54" t="str">
        <v>Thu Feb 26 2026</v>
      </c>
      <c r="I54" t="str">
        <v>Sat Mar 07 2026</v>
      </c>
    </row>
    <row r="55">
      <c r="A55">
        <v>2494</v>
      </c>
      <c r="B55" t="str">
        <v xml:space="preserve">Bhagwat Singh </v>
      </c>
      <c r="C55" t="str">
        <v>Male</v>
      </c>
      <c r="D55">
        <v>50</v>
      </c>
      <c r="E55">
        <v>50</v>
      </c>
      <c r="F55">
        <v>0</v>
      </c>
      <c r="G55" t="str">
        <v>UPI</v>
      </c>
      <c r="H55" t="str">
        <v>Sat Feb 14 2026</v>
      </c>
      <c r="I55" t="str">
        <v>Sat Mar 07 2026</v>
      </c>
    </row>
    <row r="56">
      <c r="A56">
        <v>2649</v>
      </c>
      <c r="B56" t="str">
        <v xml:space="preserve">Rupsingh Sisodiya </v>
      </c>
      <c r="C56" t="str">
        <v>Male</v>
      </c>
      <c r="D56">
        <v>50</v>
      </c>
      <c r="E56">
        <v>50</v>
      </c>
      <c r="F56">
        <v>0</v>
      </c>
      <c r="G56" t="str">
        <v>UPI</v>
      </c>
      <c r="H56" t="str">
        <v>Fri Mar 06 2026</v>
      </c>
      <c r="I56" t="str">
        <v>Sat Mar 07 2026</v>
      </c>
    </row>
    <row r="57">
      <c r="A57">
        <v>2633</v>
      </c>
      <c r="B57" t="str">
        <v xml:space="preserve">Resham Baghel </v>
      </c>
      <c r="C57" t="str">
        <v>Female</v>
      </c>
      <c r="D57">
        <v>50</v>
      </c>
      <c r="E57">
        <v>50</v>
      </c>
      <c r="F57">
        <v>0</v>
      </c>
      <c r="G57" t="str">
        <v>Cash</v>
      </c>
      <c r="H57" t="str">
        <v>Thu Mar 05 2026</v>
      </c>
      <c r="I57" t="str">
        <v>Sat Mar 07 2026</v>
      </c>
    </row>
    <row r="58">
      <c r="A58">
        <v>2645</v>
      </c>
      <c r="B58" t="str">
        <v xml:space="preserve">Adambai Prajapat </v>
      </c>
      <c r="C58" t="str">
        <v>Female</v>
      </c>
      <c r="D58">
        <v>50</v>
      </c>
      <c r="E58">
        <v>50</v>
      </c>
      <c r="F58">
        <v>0</v>
      </c>
      <c r="G58" t="str">
        <v>Cash</v>
      </c>
      <c r="H58" t="str">
        <v>Fri Mar 06 2026</v>
      </c>
      <c r="I58" t="str">
        <v>Sat Mar 07 2026</v>
      </c>
    </row>
    <row r="59">
      <c r="A59">
        <v>2644</v>
      </c>
      <c r="B59" t="str">
        <v>Laxmi Sambhariya</v>
      </c>
      <c r="C59" t="str">
        <v>Female</v>
      </c>
      <c r="D59">
        <v>50</v>
      </c>
      <c r="E59">
        <v>50</v>
      </c>
      <c r="F59">
        <v>0</v>
      </c>
      <c r="G59" t="str">
        <v>Cash</v>
      </c>
      <c r="H59" t="str">
        <v>Fri Mar 06 2026</v>
      </c>
      <c r="I59" t="str">
        <v>Sat Mar 07 2026</v>
      </c>
    </row>
    <row r="60">
      <c r="A60">
        <v>2486</v>
      </c>
      <c r="B60" t="str">
        <v xml:space="preserve">Uma Shukla </v>
      </c>
      <c r="C60" t="str">
        <v>Female</v>
      </c>
      <c r="D60">
        <v>50</v>
      </c>
      <c r="E60">
        <v>50</v>
      </c>
      <c r="F60">
        <v>0</v>
      </c>
      <c r="G60" t="str">
        <v>Cash</v>
      </c>
      <c r="H60" t="str">
        <v>Thu Feb 12 2026</v>
      </c>
      <c r="I60" t="str">
        <v>Sat Mar 07 2026</v>
      </c>
    </row>
    <row r="61">
      <c r="A61">
        <v>2614</v>
      </c>
      <c r="B61" t="str">
        <v xml:space="preserve">Sushma Morya </v>
      </c>
      <c r="C61" t="str">
        <v>Female</v>
      </c>
      <c r="D61">
        <v>50</v>
      </c>
      <c r="E61">
        <v>50</v>
      </c>
      <c r="F61">
        <v>0</v>
      </c>
      <c r="G61" t="str">
        <v>Cash</v>
      </c>
      <c r="H61" t="str">
        <v>Mon Mar 02 2026</v>
      </c>
      <c r="I61" t="str">
        <v>Sat Mar 07 2026</v>
      </c>
    </row>
    <row r="62">
      <c r="A62">
        <v>2625</v>
      </c>
      <c r="B62" t="str">
        <v>Vijay khetan</v>
      </c>
      <c r="C62" t="str">
        <v>Male</v>
      </c>
      <c r="D62">
        <v>50</v>
      </c>
      <c r="E62">
        <v>50</v>
      </c>
      <c r="F62">
        <v>0</v>
      </c>
      <c r="G62" t="str">
        <v>Cash</v>
      </c>
      <c r="H62" t="str">
        <v>Thu Mar 05 2026</v>
      </c>
      <c r="I62" t="str">
        <v>Sat Mar 07 2026</v>
      </c>
    </row>
    <row r="63">
      <c r="A63">
        <v>2524</v>
      </c>
      <c r="B63" t="str">
        <v xml:space="preserve">Govind Gupta </v>
      </c>
      <c r="C63" t="str">
        <v>Male</v>
      </c>
      <c r="D63">
        <v>50</v>
      </c>
      <c r="E63">
        <v>50</v>
      </c>
      <c r="F63">
        <v>0</v>
      </c>
      <c r="G63" t="str">
        <v>Cash</v>
      </c>
      <c r="H63" t="str">
        <v>Wed Feb 18 2026</v>
      </c>
      <c r="I63" t="str">
        <v>Sat Mar 07 2026</v>
      </c>
    </row>
    <row r="64">
      <c r="A64">
        <v>2403</v>
      </c>
      <c r="B64" t="str">
        <v>Pradip Maji</v>
      </c>
      <c r="C64" t="str">
        <v>Male</v>
      </c>
      <c r="D64">
        <v>50</v>
      </c>
      <c r="E64">
        <v>50</v>
      </c>
      <c r="F64">
        <v>0</v>
      </c>
      <c r="G64" t="str">
        <v>Cash</v>
      </c>
      <c r="H64" t="str">
        <v>Wed Feb 04 2026</v>
      </c>
      <c r="I64" t="str">
        <v>Sat Mar 07 2026</v>
      </c>
    </row>
    <row r="65">
      <c r="A65">
        <v>2629</v>
      </c>
      <c r="B65" t="str">
        <v>Surjit Adak</v>
      </c>
      <c r="C65" t="str">
        <v>Male</v>
      </c>
      <c r="D65">
        <v>50</v>
      </c>
      <c r="E65">
        <v>50</v>
      </c>
      <c r="F65">
        <v>0</v>
      </c>
      <c r="G65" t="str">
        <v>Cash</v>
      </c>
      <c r="H65" t="str">
        <v>Thu Mar 05 2026</v>
      </c>
      <c r="I65" t="str">
        <v>Sat Mar 07 2026</v>
      </c>
    </row>
    <row r="66">
      <c r="A66">
        <v>2228</v>
      </c>
      <c r="B66" t="str">
        <v>Sudhakar Rao Pawar</v>
      </c>
      <c r="C66" t="str">
        <v>Male</v>
      </c>
      <c r="D66">
        <v>50</v>
      </c>
      <c r="E66">
        <v>50</v>
      </c>
      <c r="F66">
        <v>0</v>
      </c>
      <c r="G66" t="str">
        <v>Cash</v>
      </c>
      <c r="H66" t="str">
        <v>Tue Jan 13 2026</v>
      </c>
      <c r="I66" t="str">
        <v>Sat Mar 07 2026</v>
      </c>
    </row>
    <row r="67">
      <c r="A67">
        <v>2630</v>
      </c>
      <c r="B67" t="str">
        <v xml:space="preserve">Pankaj Gupta </v>
      </c>
      <c r="C67" t="str">
        <v>Male</v>
      </c>
      <c r="D67">
        <v>50</v>
      </c>
      <c r="E67">
        <v>50</v>
      </c>
      <c r="F67">
        <v>0</v>
      </c>
      <c r="G67" t="str">
        <v>Cash</v>
      </c>
      <c r="H67" t="str">
        <v>Thu Mar 05 2026</v>
      </c>
      <c r="I67" t="str">
        <v>Sat Mar 07 2026</v>
      </c>
    </row>
    <row r="68">
      <c r="A68">
        <v>2621</v>
      </c>
      <c r="B68" t="str">
        <v xml:space="preserve">Priyanka Gupta </v>
      </c>
      <c r="C68" t="str">
        <v>Female</v>
      </c>
      <c r="D68">
        <v>50</v>
      </c>
      <c r="E68">
        <v>50</v>
      </c>
      <c r="F68">
        <v>0</v>
      </c>
      <c r="G68" t="str">
        <v>Cash</v>
      </c>
      <c r="H68" t="str">
        <v>Tue Mar 03 2026</v>
      </c>
      <c r="I68" t="str">
        <v>Sat Mar 07 2026</v>
      </c>
    </row>
    <row r="69">
      <c r="A69">
        <v>2617</v>
      </c>
      <c r="B69" t="str">
        <v xml:space="preserve">Kirti Jain </v>
      </c>
      <c r="C69" t="str">
        <v>Female</v>
      </c>
      <c r="D69">
        <v>70</v>
      </c>
      <c r="E69">
        <v>70</v>
      </c>
      <c r="F69">
        <v>0</v>
      </c>
      <c r="G69" t="str">
        <v>Cash</v>
      </c>
      <c r="H69" t="str">
        <v>Mon Mar 02 2026</v>
      </c>
      <c r="I69" t="str">
        <v>Sat Mar 07 2026</v>
      </c>
    </row>
    <row r="70">
      <c r="A70">
        <v>2142</v>
      </c>
      <c r="B70" t="str">
        <v xml:space="preserve">Santosh Kapurpura </v>
      </c>
      <c r="C70" t="str">
        <v>Female</v>
      </c>
      <c r="D70">
        <v>110</v>
      </c>
      <c r="E70">
        <v>110</v>
      </c>
      <c r="F70">
        <v>0</v>
      </c>
      <c r="G70" t="str">
        <v>Cash</v>
      </c>
      <c r="H70" t="str">
        <v>Tue Dec 30 2025</v>
      </c>
      <c r="I70" t="str">
        <v>Sat Mar 07 2026</v>
      </c>
    </row>
    <row r="71">
      <c r="A71">
        <v>2606</v>
      </c>
      <c r="B71" t="str">
        <v xml:space="preserve">Subhash Porwal </v>
      </c>
      <c r="C71" t="str">
        <v>Male</v>
      </c>
      <c r="D71">
        <v>50</v>
      </c>
      <c r="E71">
        <v>50</v>
      </c>
      <c r="F71">
        <v>0</v>
      </c>
      <c r="G71" t="str">
        <v>Cash</v>
      </c>
      <c r="H71" t="str">
        <v>Sat Feb 28 2026</v>
      </c>
      <c r="I71" t="str">
        <v>Sat Mar 07 2026</v>
      </c>
    </row>
    <row r="72">
      <c r="A72">
        <v>2590</v>
      </c>
      <c r="B72" t="str">
        <v>Kanchan Bai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Thu Feb 26 2026</v>
      </c>
      <c r="I72" t="str">
        <v>Sat Mar 07 2026</v>
      </c>
    </row>
    <row r="73">
      <c r="A73">
        <v>2536</v>
      </c>
      <c r="B73" t="str">
        <v>Rajendra Yadav</v>
      </c>
      <c r="C73" t="str">
        <v>Male</v>
      </c>
      <c r="D73">
        <v>70</v>
      </c>
      <c r="E73">
        <v>70</v>
      </c>
      <c r="F73">
        <v>0</v>
      </c>
      <c r="G73" t="str">
        <v>Cash</v>
      </c>
      <c r="H73" t="str">
        <v>Sat Feb 21 2026</v>
      </c>
      <c r="I73" t="str">
        <v>Sat Mar 07 2026</v>
      </c>
    </row>
    <row r="74">
      <c r="A74">
        <v>2654</v>
      </c>
      <c r="B74" t="str">
        <v xml:space="preserve">Kavita Pawar </v>
      </c>
      <c r="C74" t="str">
        <v>Female</v>
      </c>
      <c r="D74">
        <v>110</v>
      </c>
      <c r="E74">
        <v>110</v>
      </c>
      <c r="F74">
        <v>0</v>
      </c>
      <c r="G74" t="str">
        <v>Cash</v>
      </c>
      <c r="H74" t="str">
        <v>Sat Mar 07 2026</v>
      </c>
      <c r="I74" t="str">
        <v>Sat Mar 07 2026</v>
      </c>
    </row>
    <row r="75">
      <c r="A75">
        <v>2655</v>
      </c>
      <c r="B75" t="str">
        <v xml:space="preserve">Abhishek Dubey </v>
      </c>
      <c r="C75" t="str">
        <v>Male</v>
      </c>
      <c r="D75">
        <v>110</v>
      </c>
      <c r="E75">
        <v>110</v>
      </c>
      <c r="F75">
        <v>0</v>
      </c>
      <c r="G75" t="str">
        <v>Cash</v>
      </c>
      <c r="H75" t="str">
        <v>Sat Mar 07 2026</v>
      </c>
      <c r="I75" t="str">
        <v>Sat Mar 07 2026</v>
      </c>
    </row>
    <row r="76">
      <c r="A76">
        <v>2456</v>
      </c>
      <c r="B76" t="str">
        <v xml:space="preserve">D. P. Goyal </v>
      </c>
      <c r="C76" t="str">
        <v>Male</v>
      </c>
      <c r="D76">
        <v>50</v>
      </c>
      <c r="E76">
        <v>50</v>
      </c>
      <c r="F76">
        <v>0</v>
      </c>
      <c r="G76" t="str">
        <v>Cash</v>
      </c>
      <c r="H76" t="str">
        <v>Mon Feb 09 2026</v>
      </c>
      <c r="I76" t="str">
        <v>Sat Mar 07 2026</v>
      </c>
    </row>
    <row r="77">
      <c r="A77">
        <v>2648</v>
      </c>
      <c r="B77" t="str">
        <v xml:space="preserve">Paramvir Singh </v>
      </c>
      <c r="C77" t="str">
        <v>Male</v>
      </c>
      <c r="D77">
        <v>50</v>
      </c>
      <c r="E77">
        <v>50</v>
      </c>
      <c r="F77">
        <v>0</v>
      </c>
      <c r="G77" t="str">
        <v>Cash</v>
      </c>
      <c r="H77" t="str">
        <v>Fri Mar 06 2026</v>
      </c>
      <c r="I77" t="str">
        <v>Sat Mar 07 2026</v>
      </c>
    </row>
    <row r="78">
      <c r="A78">
        <v>2656</v>
      </c>
      <c r="B78" t="str">
        <v xml:space="preserve">Aashish Verma </v>
      </c>
      <c r="C78" t="str">
        <v>Male</v>
      </c>
      <c r="D78">
        <v>110</v>
      </c>
      <c r="E78">
        <v>110</v>
      </c>
      <c r="F78">
        <v>0</v>
      </c>
      <c r="G78" t="str">
        <v>Cash</v>
      </c>
      <c r="H78" t="str">
        <v>Sat Mar 07 2026</v>
      </c>
      <c r="I78" t="str">
        <v>Sat Mar 07 2026</v>
      </c>
    </row>
    <row r="79">
      <c r="A79">
        <v>2634</v>
      </c>
      <c r="B79" t="str">
        <v xml:space="preserve">Rajesh Kashyap </v>
      </c>
      <c r="C79" t="str">
        <v>Male</v>
      </c>
      <c r="D79">
        <v>50</v>
      </c>
      <c r="E79">
        <v>50</v>
      </c>
      <c r="F79">
        <v>0</v>
      </c>
      <c r="G79" t="str">
        <v>Cash</v>
      </c>
      <c r="H79" t="str">
        <v>Thu Mar 05 2026</v>
      </c>
      <c r="I79" t="str">
        <v>Sat Mar 07 2026</v>
      </c>
    </row>
    <row r="80">
      <c r="A80">
        <v>2657</v>
      </c>
      <c r="B80" t="str">
        <v xml:space="preserve">Ankush lokhande </v>
      </c>
      <c r="C80" t="str">
        <v>Male</v>
      </c>
      <c r="D80">
        <v>110</v>
      </c>
      <c r="E80">
        <v>110</v>
      </c>
      <c r="F80">
        <v>0</v>
      </c>
      <c r="G80" t="str">
        <v>UPI</v>
      </c>
      <c r="H80" t="str">
        <v>Sat Mar 07 2026</v>
      </c>
      <c r="I80" t="str">
        <v>Sat Mar 07 2026</v>
      </c>
    </row>
    <row r="81">
      <c r="A81">
        <v>2548</v>
      </c>
      <c r="B81" t="str">
        <v xml:space="preserve">Renu Bhadouria </v>
      </c>
      <c r="C81" t="str">
        <v>Female</v>
      </c>
      <c r="D81">
        <v>50</v>
      </c>
      <c r="E81">
        <v>50</v>
      </c>
      <c r="F81">
        <v>0</v>
      </c>
      <c r="G81" t="str">
        <v>UPI</v>
      </c>
      <c r="H81" t="str">
        <v>Mon Feb 23 2026</v>
      </c>
      <c r="I81" t="str">
        <v>Sat Mar 07 2026</v>
      </c>
    </row>
    <row r="82">
      <c r="A82">
        <v>2631</v>
      </c>
      <c r="B82" t="str">
        <v xml:space="preserve">Shubham Parihar </v>
      </c>
      <c r="C82" t="str">
        <v>Male</v>
      </c>
      <c r="D82">
        <v>50</v>
      </c>
      <c r="E82">
        <v>50</v>
      </c>
      <c r="F82">
        <v>0</v>
      </c>
      <c r="G82" t="str">
        <v>UPI</v>
      </c>
      <c r="H82" t="str">
        <v>Thu Mar 05 2026</v>
      </c>
      <c r="I82" t="str">
        <v>Sat Mar 07 2026</v>
      </c>
    </row>
    <row r="83">
      <c r="A83">
        <v>2658</v>
      </c>
      <c r="B83" t="str">
        <v xml:space="preserve">Nanuram Prajapat </v>
      </c>
      <c r="C83" t="str">
        <v>Male</v>
      </c>
      <c r="D83">
        <v>110</v>
      </c>
      <c r="E83">
        <v>90</v>
      </c>
      <c r="F83">
        <v>20</v>
      </c>
      <c r="G83" t="str">
        <v>Cash</v>
      </c>
      <c r="H83" t="str">
        <v>Sat Mar 07 2026</v>
      </c>
      <c r="I83" t="str">
        <v>Sat Mar 07 2026</v>
      </c>
    </row>
    <row r="84">
      <c r="A84">
        <v>2598</v>
      </c>
      <c r="B84" t="str">
        <v xml:space="preserve">Laxmi piplodiya </v>
      </c>
      <c r="C84" t="str">
        <v>Female</v>
      </c>
      <c r="D84">
        <v>50</v>
      </c>
      <c r="E84">
        <v>50</v>
      </c>
      <c r="F84">
        <v>0</v>
      </c>
      <c r="G84" t="str">
        <v>Cash</v>
      </c>
      <c r="H84" t="str">
        <v>Fri Feb 27 2026</v>
      </c>
      <c r="I84" t="str">
        <v>Sat Mar 07 2026</v>
      </c>
    </row>
    <row r="85">
      <c r="A85">
        <v>2618</v>
      </c>
      <c r="B85" t="str">
        <v xml:space="preserve">Pramod Paliwal </v>
      </c>
      <c r="C85" t="str">
        <v>Male</v>
      </c>
      <c r="D85">
        <v>50</v>
      </c>
      <c r="E85">
        <v>50</v>
      </c>
      <c r="F85">
        <v>0</v>
      </c>
      <c r="G85" t="str">
        <v>Cash</v>
      </c>
      <c r="H85" t="str">
        <v>Mon Mar 02 2026</v>
      </c>
      <c r="I85" t="str">
        <v>Sat Mar 07 2026</v>
      </c>
    </row>
    <row r="86">
      <c r="A86">
        <v>2635</v>
      </c>
      <c r="B86" t="str">
        <v xml:space="preserve">O. P. Joshi </v>
      </c>
      <c r="C86" t="str">
        <v>Male</v>
      </c>
      <c r="D86">
        <v>50</v>
      </c>
      <c r="E86">
        <v>50</v>
      </c>
      <c r="F86">
        <v>0</v>
      </c>
      <c r="G86" t="str">
        <v>Cash</v>
      </c>
      <c r="H86" t="str">
        <v>Thu Mar 05 2026</v>
      </c>
      <c r="I86" t="str">
        <v>Sat Mar 07 2026</v>
      </c>
    </row>
    <row r="87">
      <c r="A87">
        <v>2552</v>
      </c>
      <c r="B87" t="str">
        <v>Priti Verma</v>
      </c>
      <c r="C87" t="str">
        <v>Female</v>
      </c>
      <c r="D87">
        <v>50</v>
      </c>
      <c r="E87">
        <v>50</v>
      </c>
      <c r="F87">
        <v>0</v>
      </c>
      <c r="G87" t="str">
        <v>Cash</v>
      </c>
      <c r="H87" t="str">
        <v>Mon Feb 23 2026</v>
      </c>
      <c r="I87" t="str">
        <v>Sat Mar 07 2026</v>
      </c>
    </row>
    <row r="88">
      <c r="A88">
        <v>2659</v>
      </c>
      <c r="B88" t="str">
        <v xml:space="preserve">Pooja Patel </v>
      </c>
      <c r="C88" t="str">
        <v>Female</v>
      </c>
      <c r="D88">
        <v>110</v>
      </c>
      <c r="E88">
        <v>110</v>
      </c>
      <c r="F88">
        <v>0</v>
      </c>
      <c r="G88" t="str">
        <v>UPI</v>
      </c>
      <c r="H88" t="str">
        <v>Sat Mar 07 2026</v>
      </c>
      <c r="I88" t="str">
        <v>Sat Mar 07 2026</v>
      </c>
    </row>
    <row r="89">
      <c r="A89">
        <v>2660</v>
      </c>
      <c r="B89" t="str">
        <v xml:space="preserve">Ajay Chauhan </v>
      </c>
      <c r="C89" t="str">
        <v>Male</v>
      </c>
      <c r="D89">
        <v>110</v>
      </c>
      <c r="E89">
        <v>110</v>
      </c>
      <c r="F89">
        <v>0</v>
      </c>
      <c r="G89" t="str">
        <v>Cash</v>
      </c>
      <c r="H89" t="str">
        <v>Sat Mar 07 2026</v>
      </c>
      <c r="I89" t="str">
        <v>Sat Mar 07 2026</v>
      </c>
    </row>
  </sheetData>
  <ignoredErrors>
    <ignoredError numberStoredAsText="1" sqref="A1:N8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86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Fri Mar 06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SUM(D10:D86)</f>
      </c>
      <c r="B7" t="e">
        <f t="array" ref="B7">SUM(E10:E86)</f>
      </c>
      <c r="C7" t="e">
        <f t="array" ref="C7">SUMIF(G10:G86, "Cash", E10:E86)</f>
      </c>
      <c r="D7" t="e">
        <f t="array" ref="D7">SUMIF(G10:G86, "UPI", E10:E86)</f>
      </c>
      <c r="E7" t="e">
        <f t="array" ref="E7">COUNTA(G10:G86)</f>
      </c>
      <c r="F7" t="e">
        <f t="array" ref="F7">COUNTIF(G10:G86, "Cash")</f>
      </c>
      <c r="G7" t="e">
        <f t="array" ref="G7">COUNTIF(G10:G86, "UPI")</f>
      </c>
      <c r="H7" t="e">
        <f t="array" ref="H7">SUM(F10:F86)</f>
      </c>
      <c r="I7" t="e">
        <f t="array" ref="I7">COUNT(FILTER(F10:F86, F10:F86=D10:D86))</f>
      </c>
      <c r="J7" t="e">
        <f t="array" ref="J7">IFERROR(ROWS(UNIQUE(FILTER(A10:A86,C10:C86="Male"))),0)</f>
      </c>
      <c r="K7" t="e">
        <f t="array" ref="K7">IFERROR(ROWS(UNIQUE(FILTER(A10:A86,C10:C86="Female"))),0)</f>
      </c>
      <c r="L7" t="e">
        <f t="array" ref="L7">IFERROR(ROWS(UNIQUE(FILTER(A10:A86,H10:H86=I10))),0)</f>
      </c>
      <c r="M7" t="e">
        <f t="array" ref="M7">IFERROR(ROWS(UNIQUE(FILTER(A10:A86,H10:H86&lt;&gt;I10))),0)</f>
      </c>
      <c r="N7" t="e">
        <f t="array" ref="N7">IFERROR(ROWS(UNIQUE(A10:A86)),0)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2610</v>
      </c>
      <c r="B10" t="str">
        <v xml:space="preserve">Sanjivani Solanki </v>
      </c>
      <c r="C10" t="str">
        <v>Female</v>
      </c>
      <c r="D10">
        <v>50</v>
      </c>
      <c r="E10">
        <v>50</v>
      </c>
      <c r="F10">
        <v>0</v>
      </c>
      <c r="G10" t="str">
        <v>Cash</v>
      </c>
      <c r="H10" t="str">
        <v>Mon Mar 02 2026</v>
      </c>
      <c r="I10" t="str">
        <v>Fri Mar 06 2026</v>
      </c>
    </row>
    <row r="11">
      <c r="A11">
        <v>2623</v>
      </c>
      <c r="B11" t="str">
        <v xml:space="preserve">Priti Kashyap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Thu Mar 05 2026</v>
      </c>
      <c r="I11" t="str">
        <v>Fri Mar 06 2026</v>
      </c>
    </row>
    <row r="12">
      <c r="A12">
        <v>2613</v>
      </c>
      <c r="B12" t="str">
        <v xml:space="preserve">Rohit Bansal 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Mon Mar 02 2026</v>
      </c>
      <c r="I12" t="str">
        <v>Fri Mar 06 2026</v>
      </c>
    </row>
    <row r="13">
      <c r="A13">
        <v>996</v>
      </c>
      <c r="B13" t="str">
        <v>Sarita Rathor</v>
      </c>
      <c r="C13" t="str">
        <v>Female</v>
      </c>
      <c r="D13">
        <v>50</v>
      </c>
      <c r="E13">
        <v>0</v>
      </c>
      <c r="F13">
        <v>50</v>
      </c>
      <c r="G13" t="str">
        <v>Cash</v>
      </c>
      <c r="H13" t="str">
        <v>Sat Jul 19 2025</v>
      </c>
      <c r="I13" t="str">
        <v>Fri Mar 06 2026</v>
      </c>
    </row>
    <row r="14">
      <c r="A14">
        <v>870</v>
      </c>
      <c r="B14" t="str">
        <v>Vinita Pancholi</v>
      </c>
      <c r="C14" t="str">
        <v>Female</v>
      </c>
      <c r="D14">
        <v>50</v>
      </c>
      <c r="E14">
        <v>0</v>
      </c>
      <c r="F14">
        <v>50</v>
      </c>
      <c r="G14" t="str">
        <v>Cash</v>
      </c>
      <c r="H14" t="str">
        <v>Sat Jul 05 2025</v>
      </c>
      <c r="I14" t="str">
        <v>Fri Mar 06 2026</v>
      </c>
    </row>
    <row r="15">
      <c r="A15">
        <v>2161</v>
      </c>
      <c r="B15" t="str">
        <v xml:space="preserve">Pooja Rathor </v>
      </c>
      <c r="C15" t="str">
        <v>Female</v>
      </c>
      <c r="D15">
        <v>50</v>
      </c>
      <c r="E15">
        <v>0</v>
      </c>
      <c r="F15">
        <v>50</v>
      </c>
      <c r="G15" t="str">
        <v>Cash</v>
      </c>
      <c r="H15" t="str">
        <v>Thu Jan 01 2026</v>
      </c>
      <c r="I15" t="str">
        <v>Fri Mar 06 2026</v>
      </c>
    </row>
    <row r="16">
      <c r="A16">
        <v>2581</v>
      </c>
      <c r="B16" t="str">
        <v xml:space="preserve">Radheshyam Bhavsar </v>
      </c>
      <c r="C16" t="str">
        <v>Male</v>
      </c>
      <c r="D16">
        <v>50</v>
      </c>
      <c r="E16">
        <v>50</v>
      </c>
      <c r="F16">
        <v>0</v>
      </c>
      <c r="G16" t="str">
        <v>UPI</v>
      </c>
      <c r="H16" t="str">
        <v>Wed Feb 25 2026</v>
      </c>
      <c r="I16" t="str">
        <v>Fri Mar 06 2026</v>
      </c>
    </row>
    <row r="17">
      <c r="A17">
        <v>2612</v>
      </c>
      <c r="B17" t="str">
        <v xml:space="preserve">Minakshi Yadav </v>
      </c>
      <c r="C17" t="str">
        <v>Female</v>
      </c>
      <c r="D17">
        <v>60</v>
      </c>
      <c r="E17">
        <v>60</v>
      </c>
      <c r="F17">
        <v>0</v>
      </c>
      <c r="G17" t="str">
        <v>Cash</v>
      </c>
      <c r="H17" t="str">
        <v>Mon Mar 02 2026</v>
      </c>
      <c r="I17" t="str">
        <v>Fri Mar 06 2026</v>
      </c>
    </row>
    <row r="18">
      <c r="A18">
        <v>2451</v>
      </c>
      <c r="B18" t="str">
        <v xml:space="preserve">Prakash Joshi </v>
      </c>
      <c r="C18" t="str">
        <v>Male</v>
      </c>
      <c r="D18">
        <v>70</v>
      </c>
      <c r="E18">
        <v>70</v>
      </c>
      <c r="F18">
        <v>0</v>
      </c>
      <c r="G18" t="str">
        <v>Cash</v>
      </c>
      <c r="H18" t="str">
        <v>Mon Feb 09 2026</v>
      </c>
      <c r="I18" t="str">
        <v>Fri Mar 06 2026</v>
      </c>
    </row>
    <row r="19">
      <c r="A19">
        <v>2573</v>
      </c>
      <c r="B19" t="str">
        <v xml:space="preserve">Manbir Singh </v>
      </c>
      <c r="C19" t="str">
        <v>Male</v>
      </c>
      <c r="D19">
        <v>50</v>
      </c>
      <c r="E19">
        <v>50</v>
      </c>
      <c r="F19">
        <v>0</v>
      </c>
      <c r="G19" t="str">
        <v>UPI</v>
      </c>
      <c r="H19" t="str">
        <v>Wed Feb 25 2026</v>
      </c>
      <c r="I19" t="str">
        <v>Fri Mar 06 2026</v>
      </c>
    </row>
    <row r="20">
      <c r="A20">
        <v>2624</v>
      </c>
      <c r="B20" t="str">
        <v xml:space="preserve">Mukesh Chauhan </v>
      </c>
      <c r="C20" t="str">
        <v>Male</v>
      </c>
      <c r="D20">
        <v>50</v>
      </c>
      <c r="E20">
        <v>50</v>
      </c>
      <c r="F20">
        <v>0</v>
      </c>
      <c r="G20" t="str">
        <v>UPI</v>
      </c>
      <c r="H20" t="str">
        <v>Thu Mar 05 2026</v>
      </c>
      <c r="I20" t="str">
        <v>Fri Mar 06 2026</v>
      </c>
    </row>
    <row r="21">
      <c r="A21">
        <v>1645</v>
      </c>
      <c r="B21" t="str">
        <v>Jaiprakash Mishra</v>
      </c>
      <c r="C21" t="str">
        <v>Male</v>
      </c>
      <c r="D21">
        <v>50</v>
      </c>
      <c r="E21">
        <v>50</v>
      </c>
      <c r="F21">
        <v>0</v>
      </c>
      <c r="G21" t="str">
        <v>Cash</v>
      </c>
      <c r="H21" t="str">
        <v>Mon Oct 27 2025</v>
      </c>
      <c r="I21" t="str">
        <v>Fri Mar 06 2026</v>
      </c>
    </row>
    <row r="22">
      <c r="A22">
        <v>2638</v>
      </c>
      <c r="B22" t="str">
        <v xml:space="preserve">Kamalchand </v>
      </c>
      <c r="C22" t="str">
        <v>Male</v>
      </c>
      <c r="D22">
        <v>100</v>
      </c>
      <c r="E22">
        <v>100</v>
      </c>
      <c r="F22">
        <v>0</v>
      </c>
      <c r="G22" t="str">
        <v>Cash</v>
      </c>
      <c r="H22" t="str">
        <v>Fri Mar 06 2026</v>
      </c>
      <c r="I22" t="str">
        <v>Fri Mar 06 2026</v>
      </c>
    </row>
    <row r="23">
      <c r="A23">
        <v>2639</v>
      </c>
      <c r="B23" t="str">
        <v xml:space="preserve">Ritik Yadav </v>
      </c>
      <c r="C23" t="str">
        <v>Male</v>
      </c>
      <c r="D23">
        <v>110</v>
      </c>
      <c r="E23">
        <v>110</v>
      </c>
      <c r="F23">
        <v>0</v>
      </c>
      <c r="G23" t="str">
        <v>UPI</v>
      </c>
      <c r="H23" t="str">
        <v>Fri Mar 06 2026</v>
      </c>
      <c r="I23" t="str">
        <v>Fri Mar 06 2026</v>
      </c>
    </row>
    <row r="24">
      <c r="A24">
        <v>2605</v>
      </c>
      <c r="B24" t="str">
        <v>Kamlesh Belpatre</v>
      </c>
      <c r="C24" t="str">
        <v>Male</v>
      </c>
      <c r="D24">
        <v>50</v>
      </c>
      <c r="E24">
        <v>50</v>
      </c>
      <c r="F24">
        <v>0</v>
      </c>
      <c r="G24" t="str">
        <v>UPI</v>
      </c>
      <c r="H24" t="str">
        <v>Sat Feb 28 2026</v>
      </c>
      <c r="I24" t="str">
        <v>Fri Mar 06 2026</v>
      </c>
    </row>
    <row r="25">
      <c r="A25">
        <v>2289</v>
      </c>
      <c r="B25" t="str">
        <v xml:space="preserve">Jaibir Singh </v>
      </c>
      <c r="C25" t="str">
        <v>Male</v>
      </c>
      <c r="D25">
        <v>50</v>
      </c>
      <c r="E25">
        <v>50</v>
      </c>
      <c r="F25">
        <v>0</v>
      </c>
      <c r="G25" t="str">
        <v>Cash</v>
      </c>
      <c r="H25" t="str">
        <v>Tue Jan 20 2026</v>
      </c>
      <c r="I25" t="str">
        <v>Fri Mar 06 2026</v>
      </c>
    </row>
    <row r="26">
      <c r="A26">
        <v>2629</v>
      </c>
      <c r="B26" t="str">
        <v>Surjit Adak</v>
      </c>
      <c r="C26" t="str">
        <v>Male</v>
      </c>
      <c r="D26">
        <v>50</v>
      </c>
      <c r="E26">
        <v>50</v>
      </c>
      <c r="F26">
        <v>0</v>
      </c>
      <c r="G26" t="str">
        <v>Cash</v>
      </c>
      <c r="H26" t="str">
        <v>Thu Mar 05 2026</v>
      </c>
      <c r="I26" t="str">
        <v>Fri Mar 06 2026</v>
      </c>
    </row>
    <row r="27">
      <c r="A27">
        <v>2626</v>
      </c>
      <c r="B27" t="str">
        <v xml:space="preserve">Lokesh Chouhan </v>
      </c>
      <c r="C27" t="str">
        <v>Male</v>
      </c>
      <c r="D27">
        <v>50</v>
      </c>
      <c r="E27">
        <v>50</v>
      </c>
      <c r="F27">
        <v>0</v>
      </c>
      <c r="G27" t="str">
        <v>UPI</v>
      </c>
      <c r="H27" t="str">
        <v>Thu Mar 05 2026</v>
      </c>
      <c r="I27" t="str">
        <v>Fri Mar 06 2026</v>
      </c>
    </row>
    <row r="28">
      <c r="A28">
        <v>2569</v>
      </c>
      <c r="B28" t="str">
        <v>Suresh Malvi</v>
      </c>
      <c r="C28" t="str">
        <v>Male</v>
      </c>
      <c r="D28">
        <v>70</v>
      </c>
      <c r="E28">
        <v>70</v>
      </c>
      <c r="F28">
        <v>0</v>
      </c>
      <c r="G28" t="str">
        <v>Cash</v>
      </c>
      <c r="H28" t="str">
        <v>Tue Feb 24 2026</v>
      </c>
      <c r="I28" t="str">
        <v>Fri Mar 06 2026</v>
      </c>
    </row>
    <row r="29">
      <c r="A29">
        <v>2577</v>
      </c>
      <c r="B29" t="str">
        <v xml:space="preserve">Sunita Gupta </v>
      </c>
      <c r="C29" t="str">
        <v>Female</v>
      </c>
      <c r="D29">
        <v>50</v>
      </c>
      <c r="E29">
        <v>50</v>
      </c>
      <c r="F29">
        <v>0</v>
      </c>
      <c r="G29" t="str">
        <v>Cash</v>
      </c>
      <c r="H29" t="str">
        <v>Wed Feb 25 2026</v>
      </c>
      <c r="I29" t="str">
        <v>Fri Mar 06 2026</v>
      </c>
    </row>
    <row r="30">
      <c r="A30">
        <v>2619</v>
      </c>
      <c r="B30" t="str">
        <v>Kailash Mathur</v>
      </c>
      <c r="C30" t="str">
        <v>Male</v>
      </c>
      <c r="D30">
        <v>50</v>
      </c>
      <c r="E30">
        <v>50</v>
      </c>
      <c r="F30">
        <v>0</v>
      </c>
      <c r="G30" t="str">
        <v>Cash</v>
      </c>
      <c r="H30" t="str">
        <v>Tue Mar 03 2026</v>
      </c>
      <c r="I30" t="str">
        <v>Fri Mar 06 2026</v>
      </c>
    </row>
    <row r="31">
      <c r="A31">
        <v>2640</v>
      </c>
      <c r="B31" t="str">
        <v xml:space="preserve">Antul Jain </v>
      </c>
      <c r="C31" t="str">
        <v>Male</v>
      </c>
      <c r="D31">
        <v>110</v>
      </c>
      <c r="E31">
        <v>110</v>
      </c>
      <c r="F31">
        <v>0</v>
      </c>
      <c r="G31" t="str">
        <v>Cash</v>
      </c>
      <c r="H31" t="str">
        <v>Fri Mar 06 2026</v>
      </c>
      <c r="I31" t="str">
        <v>Fri Mar 06 2026</v>
      </c>
    </row>
    <row r="32">
      <c r="A32">
        <v>2628</v>
      </c>
      <c r="B32" t="str">
        <v xml:space="preserve">Arun Gupta </v>
      </c>
      <c r="C32" t="str">
        <v>Male</v>
      </c>
      <c r="D32">
        <v>50</v>
      </c>
      <c r="E32">
        <v>50</v>
      </c>
      <c r="F32">
        <v>0</v>
      </c>
      <c r="G32" t="str">
        <v>Cash</v>
      </c>
      <c r="H32" t="str">
        <v>Thu Mar 05 2026</v>
      </c>
      <c r="I32" t="str">
        <v>Fri Mar 06 2026</v>
      </c>
    </row>
    <row r="33">
      <c r="A33">
        <v>2574</v>
      </c>
      <c r="B33" t="str">
        <v xml:space="preserve">Kshama Lovanshi </v>
      </c>
      <c r="C33" t="str">
        <v>Female</v>
      </c>
      <c r="D33">
        <v>50</v>
      </c>
      <c r="E33">
        <v>50</v>
      </c>
      <c r="F33">
        <v>0</v>
      </c>
      <c r="G33" t="str">
        <v>Cash</v>
      </c>
      <c r="H33" t="str">
        <v>Wed Feb 25 2026</v>
      </c>
      <c r="I33" t="str">
        <v>Fri Mar 06 2026</v>
      </c>
    </row>
    <row r="34">
      <c r="A34">
        <v>2468</v>
      </c>
      <c r="B34" t="str">
        <v>Savita Patankar</v>
      </c>
      <c r="C34" t="str">
        <v>Female</v>
      </c>
      <c r="D34">
        <v>50</v>
      </c>
      <c r="E34">
        <v>50</v>
      </c>
      <c r="F34">
        <v>0</v>
      </c>
      <c r="G34" t="str">
        <v>Cash</v>
      </c>
      <c r="H34" t="str">
        <v>Wed Feb 11 2026</v>
      </c>
      <c r="I34" t="str">
        <v>Fri Mar 06 2026</v>
      </c>
    </row>
    <row r="35">
      <c r="A35">
        <v>2594</v>
      </c>
      <c r="B35" t="str">
        <v xml:space="preserve">Lila Raghuvanshi </v>
      </c>
      <c r="C35" t="str">
        <v>Female</v>
      </c>
      <c r="D35">
        <v>70</v>
      </c>
      <c r="E35">
        <v>70</v>
      </c>
      <c r="F35">
        <v>0</v>
      </c>
      <c r="G35" t="str">
        <v>Cash</v>
      </c>
      <c r="H35" t="str">
        <v>Fri Feb 27 2026</v>
      </c>
      <c r="I35" t="str">
        <v>Fri Mar 06 2026</v>
      </c>
    </row>
    <row r="36">
      <c r="A36">
        <v>2641</v>
      </c>
      <c r="B36" t="str">
        <v xml:space="preserve">Anita Jain </v>
      </c>
      <c r="C36" t="str">
        <v>Female</v>
      </c>
      <c r="D36">
        <v>110</v>
      </c>
      <c r="E36">
        <v>110</v>
      </c>
      <c r="F36">
        <v>0</v>
      </c>
      <c r="G36" t="str">
        <v>Cash</v>
      </c>
      <c r="H36" t="str">
        <v>Fri Mar 06 2026</v>
      </c>
      <c r="I36" t="str">
        <v>Fri Mar 06 2026</v>
      </c>
    </row>
    <row r="37">
      <c r="A37">
        <v>2588</v>
      </c>
      <c r="B37" t="str">
        <v>Krishna varma</v>
      </c>
      <c r="C37" t="str">
        <v>Female</v>
      </c>
      <c r="D37">
        <v>50</v>
      </c>
      <c r="E37">
        <v>50</v>
      </c>
      <c r="F37">
        <v>0</v>
      </c>
      <c r="G37" t="str">
        <v>Cash</v>
      </c>
      <c r="H37" t="str">
        <v>Thu Feb 26 2026</v>
      </c>
      <c r="I37" t="str">
        <v>Fri Mar 06 2026</v>
      </c>
    </row>
    <row r="38">
      <c r="A38">
        <v>2584</v>
      </c>
      <c r="B38" t="str">
        <v xml:space="preserve">Lokesh Raghuvanshi </v>
      </c>
      <c r="C38" t="str">
        <v>Male</v>
      </c>
      <c r="D38">
        <v>70</v>
      </c>
      <c r="E38">
        <v>70</v>
      </c>
      <c r="F38">
        <v>0</v>
      </c>
      <c r="G38" t="str">
        <v>UPI</v>
      </c>
      <c r="H38" t="str">
        <v>Thu Feb 26 2026</v>
      </c>
      <c r="I38" t="str">
        <v>Fri Mar 06 2026</v>
      </c>
    </row>
    <row r="39">
      <c r="A39">
        <v>2600</v>
      </c>
      <c r="B39" t="str">
        <v xml:space="preserve">Kiran Soni </v>
      </c>
      <c r="C39" t="str">
        <v>Female</v>
      </c>
      <c r="D39">
        <v>70</v>
      </c>
      <c r="E39">
        <v>70</v>
      </c>
      <c r="F39">
        <v>0</v>
      </c>
      <c r="G39" t="str">
        <v>Cash</v>
      </c>
      <c r="H39" t="str">
        <v>Sat Feb 28 2026</v>
      </c>
      <c r="I39" t="str">
        <v>Fri Mar 06 2026</v>
      </c>
    </row>
    <row r="40">
      <c r="A40">
        <v>2528</v>
      </c>
      <c r="B40" t="str">
        <v xml:space="preserve">Rajeshwari Shukla </v>
      </c>
      <c r="C40" t="str">
        <v>Female</v>
      </c>
      <c r="D40">
        <v>50</v>
      </c>
      <c r="E40">
        <v>50</v>
      </c>
      <c r="F40">
        <v>0</v>
      </c>
      <c r="G40" t="str">
        <v>Cash</v>
      </c>
      <c r="H40" t="str">
        <v>Fri Feb 20 2026</v>
      </c>
      <c r="I40" t="str">
        <v>Fri Mar 06 2026</v>
      </c>
    </row>
    <row r="41">
      <c r="A41">
        <v>2627</v>
      </c>
      <c r="B41" t="str">
        <v xml:space="preserve">Harbhajan Raghuvanshi </v>
      </c>
      <c r="C41" t="str">
        <v>Male</v>
      </c>
      <c r="D41">
        <v>50</v>
      </c>
      <c r="E41">
        <v>50</v>
      </c>
      <c r="F41">
        <v>0</v>
      </c>
      <c r="G41" t="str">
        <v>Cash</v>
      </c>
      <c r="H41" t="str">
        <v>Thu Mar 05 2026</v>
      </c>
      <c r="I41" t="str">
        <v>Fri Mar 06 2026</v>
      </c>
    </row>
    <row r="42">
      <c r="A42">
        <v>2637</v>
      </c>
      <c r="B42" t="str">
        <v xml:space="preserve">Aakash Chourasia </v>
      </c>
      <c r="C42" t="str">
        <v>Male</v>
      </c>
      <c r="D42">
        <v>50</v>
      </c>
      <c r="E42">
        <v>50</v>
      </c>
      <c r="F42">
        <v>0</v>
      </c>
      <c r="G42" t="str">
        <v>Cash</v>
      </c>
      <c r="H42" t="str">
        <v>Thu Mar 05 2026</v>
      </c>
      <c r="I42" t="str">
        <v>Fri Mar 06 2026</v>
      </c>
    </row>
    <row r="43">
      <c r="A43">
        <v>2633</v>
      </c>
      <c r="B43" t="str">
        <v xml:space="preserve">Resham Baghel </v>
      </c>
      <c r="C43" t="str">
        <v>Female</v>
      </c>
      <c r="D43">
        <v>50</v>
      </c>
      <c r="E43">
        <v>50</v>
      </c>
      <c r="F43">
        <v>0</v>
      </c>
      <c r="G43" t="str">
        <v>Cash</v>
      </c>
      <c r="H43" t="str">
        <v>Thu Mar 05 2026</v>
      </c>
      <c r="I43" t="str">
        <v>Fri Mar 06 2026</v>
      </c>
    </row>
    <row r="44">
      <c r="A44">
        <v>2580</v>
      </c>
      <c r="B44" t="str">
        <v xml:space="preserve">Vilas Bhangale </v>
      </c>
      <c r="C44" t="str">
        <v>Male</v>
      </c>
      <c r="D44">
        <v>50</v>
      </c>
      <c r="E44">
        <v>50</v>
      </c>
      <c r="F44">
        <v>0</v>
      </c>
      <c r="G44" t="str">
        <v>Cash</v>
      </c>
      <c r="H44" t="str">
        <v>Wed Feb 25 2026</v>
      </c>
      <c r="I44" t="str">
        <v>Fri Mar 06 2026</v>
      </c>
    </row>
    <row r="45">
      <c r="A45">
        <v>2382</v>
      </c>
      <c r="B45" t="str">
        <v xml:space="preserve">Vijay Rathore </v>
      </c>
      <c r="C45" t="str">
        <v>Male</v>
      </c>
      <c r="D45">
        <v>50</v>
      </c>
      <c r="E45">
        <v>50</v>
      </c>
      <c r="F45">
        <v>0</v>
      </c>
      <c r="G45" t="str">
        <v>Cash</v>
      </c>
      <c r="H45" t="str">
        <v>Mon Feb 02 2026</v>
      </c>
      <c r="I45" t="str">
        <v>Fri Mar 06 2026</v>
      </c>
    </row>
    <row r="46">
      <c r="A46">
        <v>2544</v>
      </c>
      <c r="B46" t="str">
        <v>Nitin singh</v>
      </c>
      <c r="C46" t="str">
        <v>Male</v>
      </c>
      <c r="D46">
        <v>50</v>
      </c>
      <c r="E46">
        <v>50</v>
      </c>
      <c r="F46">
        <v>0</v>
      </c>
      <c r="G46" t="str">
        <v>UPI</v>
      </c>
      <c r="H46" t="str">
        <v>Mon Feb 23 2026</v>
      </c>
      <c r="I46" t="str">
        <v>Fri Mar 06 2026</v>
      </c>
    </row>
    <row r="47">
      <c r="A47">
        <v>2498</v>
      </c>
      <c r="B47" t="str">
        <v>Shanti Saad</v>
      </c>
      <c r="C47" t="str">
        <v>Female</v>
      </c>
      <c r="D47">
        <v>50</v>
      </c>
      <c r="E47">
        <v>50</v>
      </c>
      <c r="F47">
        <v>0</v>
      </c>
      <c r="G47" t="str">
        <v>UPI</v>
      </c>
      <c r="H47" t="str">
        <v>Sat Feb 14 2026</v>
      </c>
      <c r="I47" t="str">
        <v>Fri Mar 06 2026</v>
      </c>
    </row>
    <row r="48">
      <c r="A48">
        <v>2568</v>
      </c>
      <c r="B48" t="str">
        <v>Shakti Sen</v>
      </c>
      <c r="C48" t="str">
        <v>Male</v>
      </c>
      <c r="D48">
        <v>50</v>
      </c>
      <c r="E48">
        <v>50</v>
      </c>
      <c r="F48">
        <v>0</v>
      </c>
      <c r="G48" t="str">
        <v>UPI</v>
      </c>
      <c r="H48" t="str">
        <v>Tue Feb 24 2026</v>
      </c>
      <c r="I48" t="str">
        <v>Fri Mar 06 2026</v>
      </c>
    </row>
    <row r="49">
      <c r="A49">
        <v>2625</v>
      </c>
      <c r="B49" t="str">
        <v>Vijay khetan</v>
      </c>
      <c r="C49" t="str">
        <v>Male</v>
      </c>
      <c r="D49">
        <v>50</v>
      </c>
      <c r="E49">
        <v>50</v>
      </c>
      <c r="F49">
        <v>0</v>
      </c>
      <c r="G49" t="str">
        <v>Cash</v>
      </c>
      <c r="H49" t="str">
        <v>Thu Mar 05 2026</v>
      </c>
      <c r="I49" t="str">
        <v>Fri Mar 06 2026</v>
      </c>
    </row>
    <row r="50">
      <c r="A50">
        <v>2305</v>
      </c>
      <c r="B50" t="str">
        <v xml:space="preserve">Mahendra Varma </v>
      </c>
      <c r="C50" t="str">
        <v>Male</v>
      </c>
      <c r="D50">
        <v>70</v>
      </c>
      <c r="E50">
        <v>70</v>
      </c>
      <c r="F50">
        <v>0</v>
      </c>
      <c r="G50" t="str">
        <v>Cash</v>
      </c>
      <c r="H50" t="str">
        <v>Thu Jan 22 2026</v>
      </c>
      <c r="I50" t="str">
        <v>Fri Mar 06 2026</v>
      </c>
    </row>
    <row r="51">
      <c r="A51">
        <v>2494</v>
      </c>
      <c r="B51" t="str">
        <v xml:space="preserve">Bhagwat Singh 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Sat Feb 14 2026</v>
      </c>
      <c r="I51" t="str">
        <v>Fri Mar 06 2026</v>
      </c>
    </row>
    <row r="52">
      <c r="A52">
        <v>2524</v>
      </c>
      <c r="B52" t="str">
        <v xml:space="preserve">Govind Gupta </v>
      </c>
      <c r="C52" t="str">
        <v>Male</v>
      </c>
      <c r="D52">
        <v>50</v>
      </c>
      <c r="E52">
        <v>50</v>
      </c>
      <c r="F52">
        <v>0</v>
      </c>
      <c r="G52" t="str">
        <v>Cash</v>
      </c>
      <c r="H52" t="str">
        <v>Wed Feb 18 2026</v>
      </c>
      <c r="I52" t="str">
        <v>Fri Mar 06 2026</v>
      </c>
    </row>
    <row r="53">
      <c r="A53">
        <v>2535</v>
      </c>
      <c r="B53" t="str">
        <v>Rukmani Mshra</v>
      </c>
      <c r="C53" t="str">
        <v>Female</v>
      </c>
      <c r="D53">
        <v>50</v>
      </c>
      <c r="E53">
        <v>50</v>
      </c>
      <c r="F53">
        <v>0</v>
      </c>
      <c r="G53" t="str">
        <v>Cash</v>
      </c>
      <c r="H53" t="str">
        <v>Sat Feb 21 2026</v>
      </c>
      <c r="I53" t="str">
        <v>Fri Mar 06 2026</v>
      </c>
    </row>
    <row r="54">
      <c r="A54">
        <v>2486</v>
      </c>
      <c r="B54" t="str">
        <v xml:space="preserve">Uma Shukla </v>
      </c>
      <c r="C54" t="str">
        <v>Female</v>
      </c>
      <c r="D54">
        <v>50</v>
      </c>
      <c r="E54">
        <v>50</v>
      </c>
      <c r="F54">
        <v>0</v>
      </c>
      <c r="G54" t="str">
        <v>Cash</v>
      </c>
      <c r="H54" t="str">
        <v>Thu Feb 12 2026</v>
      </c>
      <c r="I54" t="str">
        <v>Fri Mar 06 2026</v>
      </c>
    </row>
    <row r="55">
      <c r="A55">
        <v>2606</v>
      </c>
      <c r="B55" t="str">
        <v xml:space="preserve">Subhash Porwal </v>
      </c>
      <c r="C55" t="str">
        <v>Male</v>
      </c>
      <c r="D55">
        <v>50</v>
      </c>
      <c r="E55">
        <v>50</v>
      </c>
      <c r="F55">
        <v>0</v>
      </c>
      <c r="G55" t="str">
        <v>Cash</v>
      </c>
      <c r="H55" t="str">
        <v>Sat Feb 28 2026</v>
      </c>
      <c r="I55" t="str">
        <v>Fri Mar 06 2026</v>
      </c>
    </row>
    <row r="56">
      <c r="A56">
        <v>2228</v>
      </c>
      <c r="B56" t="str">
        <v>Sudhakar Rao Pawar</v>
      </c>
      <c r="C56" t="str">
        <v>Male</v>
      </c>
      <c r="D56">
        <v>50</v>
      </c>
      <c r="E56">
        <v>50</v>
      </c>
      <c r="F56">
        <v>0</v>
      </c>
      <c r="G56" t="str">
        <v>Cash</v>
      </c>
      <c r="H56" t="str">
        <v>Tue Jan 13 2026</v>
      </c>
      <c r="I56" t="str">
        <v>Fri Mar 06 2026</v>
      </c>
    </row>
    <row r="57">
      <c r="A57">
        <v>2642</v>
      </c>
      <c r="B57" t="str">
        <v>Iti Jain</v>
      </c>
      <c r="C57" t="str">
        <v>Female</v>
      </c>
      <c r="D57">
        <v>110</v>
      </c>
      <c r="E57">
        <v>110</v>
      </c>
      <c r="F57">
        <v>0</v>
      </c>
      <c r="G57" t="str">
        <v>Cash</v>
      </c>
      <c r="H57" t="str">
        <v>Fri Mar 06 2026</v>
      </c>
      <c r="I57" t="str">
        <v>Fri Mar 06 2026</v>
      </c>
    </row>
    <row r="58">
      <c r="A58">
        <v>2643</v>
      </c>
      <c r="B58" t="str">
        <v xml:space="preserve">Bhagvati Prasad </v>
      </c>
      <c r="C58" t="str">
        <v>Male</v>
      </c>
      <c r="D58">
        <v>130</v>
      </c>
      <c r="E58">
        <v>130</v>
      </c>
      <c r="F58">
        <v>0</v>
      </c>
      <c r="G58" t="str">
        <v>Cash</v>
      </c>
      <c r="H58" t="str">
        <v>Fri Mar 06 2026</v>
      </c>
      <c r="I58" t="str">
        <v>Fri Mar 06 2026</v>
      </c>
    </row>
    <row r="59">
      <c r="A59">
        <v>2559</v>
      </c>
      <c r="B59" t="str">
        <v xml:space="preserve">Rajkumar Jain </v>
      </c>
      <c r="C59" t="str">
        <v>Male</v>
      </c>
      <c r="D59">
        <v>50</v>
      </c>
      <c r="E59">
        <v>50</v>
      </c>
      <c r="F59">
        <v>0</v>
      </c>
      <c r="G59" t="str">
        <v>Cash</v>
      </c>
      <c r="H59" t="str">
        <v>Tue Feb 24 2026</v>
      </c>
      <c r="I59" t="str">
        <v>Fri Mar 06 2026</v>
      </c>
    </row>
    <row r="60">
      <c r="A60">
        <v>2621</v>
      </c>
      <c r="B60" t="str">
        <v xml:space="preserve">Priyanka Gupta </v>
      </c>
      <c r="C60" t="str">
        <v>Female</v>
      </c>
      <c r="D60">
        <v>50</v>
      </c>
      <c r="E60">
        <v>50</v>
      </c>
      <c r="F60">
        <v>0</v>
      </c>
      <c r="G60" t="str">
        <v>Cash</v>
      </c>
      <c r="H60" t="str">
        <v>Tue Mar 03 2026</v>
      </c>
      <c r="I60" t="str">
        <v>Fri Mar 06 2026</v>
      </c>
    </row>
    <row r="61">
      <c r="A61">
        <v>2630</v>
      </c>
      <c r="B61" t="str">
        <v xml:space="preserve">Pankaj Gupta </v>
      </c>
      <c r="C61" t="str">
        <v>Male</v>
      </c>
      <c r="D61">
        <v>50</v>
      </c>
      <c r="E61">
        <v>50</v>
      </c>
      <c r="F61">
        <v>0</v>
      </c>
      <c r="G61" t="str">
        <v>Cash</v>
      </c>
      <c r="H61" t="str">
        <v>Thu Mar 05 2026</v>
      </c>
      <c r="I61" t="str">
        <v>Fri Mar 06 2026</v>
      </c>
    </row>
    <row r="62">
      <c r="A62">
        <v>2618</v>
      </c>
      <c r="B62" t="str">
        <v xml:space="preserve">Pramod Paliwal </v>
      </c>
      <c r="C62" t="str">
        <v>Male</v>
      </c>
      <c r="D62">
        <v>50</v>
      </c>
      <c r="E62">
        <v>50</v>
      </c>
      <c r="F62">
        <v>0</v>
      </c>
      <c r="G62" t="str">
        <v>Cash</v>
      </c>
      <c r="H62" t="str">
        <v>Mon Mar 02 2026</v>
      </c>
      <c r="I62" t="str">
        <v>Fri Mar 06 2026</v>
      </c>
    </row>
    <row r="63">
      <c r="A63">
        <v>2383</v>
      </c>
      <c r="B63" t="str">
        <v xml:space="preserve">Kalpana Bhawsar </v>
      </c>
      <c r="C63" t="str">
        <v>Female</v>
      </c>
      <c r="D63">
        <v>50</v>
      </c>
      <c r="E63">
        <v>50</v>
      </c>
      <c r="F63">
        <v>0</v>
      </c>
      <c r="G63" t="str">
        <v>UPI</v>
      </c>
      <c r="H63" t="str">
        <v>Mon Feb 02 2026</v>
      </c>
      <c r="I63" t="str">
        <v>Fri Mar 06 2026</v>
      </c>
    </row>
    <row r="64">
      <c r="A64">
        <v>2644</v>
      </c>
      <c r="B64" t="str">
        <v>Laxmi Sambhariya</v>
      </c>
      <c r="C64" t="str">
        <v>Female</v>
      </c>
      <c r="D64">
        <v>110</v>
      </c>
      <c r="E64">
        <v>110</v>
      </c>
      <c r="F64">
        <v>0</v>
      </c>
      <c r="G64" t="str">
        <v>Cash</v>
      </c>
      <c r="H64" t="str">
        <v>Fri Mar 06 2026</v>
      </c>
      <c r="I64" t="str">
        <v>Fri Mar 06 2026</v>
      </c>
    </row>
    <row r="65">
      <c r="A65">
        <v>2645</v>
      </c>
      <c r="B65" t="str">
        <v xml:space="preserve">Adambai Prajapat </v>
      </c>
      <c r="C65" t="str">
        <v>Female</v>
      </c>
      <c r="D65">
        <v>110</v>
      </c>
      <c r="E65">
        <v>110</v>
      </c>
      <c r="F65">
        <v>0</v>
      </c>
      <c r="G65" t="str">
        <v>Cash</v>
      </c>
      <c r="H65" t="str">
        <v>Fri Mar 06 2026</v>
      </c>
      <c r="I65" t="str">
        <v>Fri Mar 06 2026</v>
      </c>
    </row>
    <row r="66">
      <c r="A66">
        <v>2646</v>
      </c>
      <c r="B66" t="str">
        <v xml:space="preserve">Mira Varma </v>
      </c>
      <c r="C66" t="str">
        <v>Female</v>
      </c>
      <c r="D66">
        <v>110</v>
      </c>
      <c r="E66">
        <v>110</v>
      </c>
      <c r="F66">
        <v>0</v>
      </c>
      <c r="G66" t="str">
        <v>Cash</v>
      </c>
      <c r="H66" t="str">
        <v>Fri Mar 06 2026</v>
      </c>
      <c r="I66" t="str">
        <v>Fri Mar 06 2026</v>
      </c>
    </row>
    <row r="67">
      <c r="A67">
        <v>2631</v>
      </c>
      <c r="B67" t="str">
        <v xml:space="preserve">Shubham Parihar </v>
      </c>
      <c r="C67" t="str">
        <v>Male</v>
      </c>
      <c r="D67">
        <v>50</v>
      </c>
      <c r="E67">
        <v>50</v>
      </c>
      <c r="F67">
        <v>0</v>
      </c>
      <c r="G67" t="str">
        <v>UPI</v>
      </c>
      <c r="H67" t="str">
        <v>Thu Mar 05 2026</v>
      </c>
      <c r="I67" t="str">
        <v>Fri Mar 06 2026</v>
      </c>
    </row>
    <row r="68">
      <c r="A68">
        <v>2611</v>
      </c>
      <c r="B68" t="str">
        <v>Maya Shipankar</v>
      </c>
      <c r="C68" t="str">
        <v>Female</v>
      </c>
      <c r="D68">
        <v>50</v>
      </c>
      <c r="E68">
        <v>50</v>
      </c>
      <c r="F68">
        <v>0</v>
      </c>
      <c r="G68" t="str">
        <v>Cash</v>
      </c>
      <c r="H68" t="str">
        <v>Mon Mar 02 2026</v>
      </c>
      <c r="I68" t="str">
        <v>Fri Mar 06 2026</v>
      </c>
    </row>
    <row r="69">
      <c r="A69">
        <v>2647</v>
      </c>
      <c r="B69" t="str">
        <v xml:space="preserve">Sangita Soni </v>
      </c>
      <c r="C69" t="str">
        <v>Female</v>
      </c>
      <c r="D69">
        <v>110</v>
      </c>
      <c r="E69">
        <v>110</v>
      </c>
      <c r="F69">
        <v>0</v>
      </c>
      <c r="G69" t="str">
        <v>Cash</v>
      </c>
      <c r="H69" t="str">
        <v>Fri Mar 06 2026</v>
      </c>
      <c r="I69" t="str">
        <v>Fri Mar 06 2026</v>
      </c>
    </row>
    <row r="70">
      <c r="A70">
        <v>2456</v>
      </c>
      <c r="B70" t="str">
        <v xml:space="preserve">D. P. Goyal </v>
      </c>
      <c r="C70" t="str">
        <v>Male</v>
      </c>
      <c r="D70">
        <v>50</v>
      </c>
      <c r="E70">
        <v>50</v>
      </c>
      <c r="F70">
        <v>0</v>
      </c>
      <c r="G70" t="str">
        <v>Cash</v>
      </c>
      <c r="H70" t="str">
        <v>Mon Feb 09 2026</v>
      </c>
      <c r="I70" t="str">
        <v>Fri Mar 06 2026</v>
      </c>
    </row>
    <row r="71">
      <c r="A71">
        <v>2614</v>
      </c>
      <c r="B71" t="str">
        <v xml:space="preserve">Sushma Morya </v>
      </c>
      <c r="C71" t="str">
        <v>Female</v>
      </c>
      <c r="D71">
        <v>50</v>
      </c>
      <c r="E71">
        <v>50</v>
      </c>
      <c r="F71">
        <v>0</v>
      </c>
      <c r="G71" t="str">
        <v>Cash</v>
      </c>
      <c r="H71" t="str">
        <v>Mon Mar 02 2026</v>
      </c>
      <c r="I71" t="str">
        <v>Fri Mar 06 2026</v>
      </c>
    </row>
    <row r="72">
      <c r="A72">
        <v>2648</v>
      </c>
      <c r="B72" t="str">
        <v xml:space="preserve">Paramvir Singh </v>
      </c>
      <c r="C72" t="str">
        <v>Male</v>
      </c>
      <c r="D72">
        <v>110</v>
      </c>
      <c r="E72">
        <v>110</v>
      </c>
      <c r="F72">
        <v>0</v>
      </c>
      <c r="G72" t="str">
        <v>UPI</v>
      </c>
      <c r="H72" t="str">
        <v>Fri Mar 06 2026</v>
      </c>
      <c r="I72" t="str">
        <v>Fri Mar 06 2026</v>
      </c>
    </row>
    <row r="73">
      <c r="A73">
        <v>2617</v>
      </c>
      <c r="B73" t="str">
        <v xml:space="preserve">Kirti Jain </v>
      </c>
      <c r="C73" t="str">
        <v>Female</v>
      </c>
      <c r="D73">
        <v>70</v>
      </c>
      <c r="E73">
        <v>70</v>
      </c>
      <c r="F73">
        <v>0</v>
      </c>
      <c r="G73" t="str">
        <v>Cash</v>
      </c>
      <c r="H73" t="str">
        <v>Mon Mar 02 2026</v>
      </c>
      <c r="I73" t="str">
        <v>Fri Mar 06 2026</v>
      </c>
    </row>
    <row r="74">
      <c r="A74">
        <v>2590</v>
      </c>
      <c r="B74" t="str">
        <v>Kanchan Bai</v>
      </c>
      <c r="C74" t="str">
        <v>Female</v>
      </c>
      <c r="D74">
        <v>50</v>
      </c>
      <c r="E74">
        <v>50</v>
      </c>
      <c r="F74">
        <v>0</v>
      </c>
      <c r="G74" t="str">
        <v>Cash</v>
      </c>
      <c r="H74" t="str">
        <v>Thu Feb 26 2026</v>
      </c>
      <c r="I74" t="str">
        <v>Fri Mar 06 2026</v>
      </c>
    </row>
    <row r="75">
      <c r="A75">
        <v>2634</v>
      </c>
      <c r="B75" t="str">
        <v xml:space="preserve">Rajesh Kashyap </v>
      </c>
      <c r="C75" t="str">
        <v>Male</v>
      </c>
      <c r="D75">
        <v>50</v>
      </c>
      <c r="E75">
        <v>50</v>
      </c>
      <c r="F75">
        <v>0</v>
      </c>
      <c r="G75" t="str">
        <v>Cash</v>
      </c>
      <c r="H75" t="str">
        <v>Thu Mar 05 2026</v>
      </c>
      <c r="I75" t="str">
        <v>Fri Mar 06 2026</v>
      </c>
    </row>
    <row r="76">
      <c r="A76">
        <v>2598</v>
      </c>
      <c r="B76" t="str">
        <v xml:space="preserve">Laxmi piplodiya </v>
      </c>
      <c r="C76" t="str">
        <v>Female</v>
      </c>
      <c r="D76">
        <v>50</v>
      </c>
      <c r="E76">
        <v>50</v>
      </c>
      <c r="F76">
        <v>0</v>
      </c>
      <c r="G76" t="str">
        <v>Cash</v>
      </c>
      <c r="H76" t="str">
        <v>Fri Feb 27 2026</v>
      </c>
      <c r="I76" t="str">
        <v>Fri Mar 06 2026</v>
      </c>
    </row>
    <row r="77">
      <c r="A77">
        <v>2548</v>
      </c>
      <c r="B77" t="str">
        <v xml:space="preserve">Renu Bhadouria </v>
      </c>
      <c r="C77" t="str">
        <v>Female</v>
      </c>
      <c r="D77">
        <v>50</v>
      </c>
      <c r="E77">
        <v>50</v>
      </c>
      <c r="F77">
        <v>0</v>
      </c>
      <c r="G77" t="str">
        <v>UPI</v>
      </c>
      <c r="H77" t="str">
        <v>Mon Feb 23 2026</v>
      </c>
      <c r="I77" t="str">
        <v>Fri Mar 06 2026</v>
      </c>
    </row>
    <row r="78">
      <c r="A78">
        <v>2431</v>
      </c>
      <c r="B78" t="str">
        <v xml:space="preserve">Muskan Parmar </v>
      </c>
      <c r="C78" t="str">
        <v>Female</v>
      </c>
      <c r="D78">
        <v>50</v>
      </c>
      <c r="E78">
        <v>50</v>
      </c>
      <c r="F78">
        <v>0</v>
      </c>
      <c r="G78" t="str">
        <v>Cash</v>
      </c>
      <c r="H78" t="str">
        <v>Fri Feb 06 2026</v>
      </c>
      <c r="I78" t="str">
        <v>Fri Mar 06 2026</v>
      </c>
    </row>
    <row r="79">
      <c r="A79">
        <v>2356</v>
      </c>
      <c r="B79" t="str">
        <v xml:space="preserve">Ishan Jayaswal </v>
      </c>
      <c r="C79" t="str">
        <v>Male</v>
      </c>
      <c r="D79">
        <v>50</v>
      </c>
      <c r="E79">
        <v>50</v>
      </c>
      <c r="F79">
        <v>0</v>
      </c>
      <c r="G79" t="str">
        <v>UPI</v>
      </c>
      <c r="H79" t="str">
        <v>Fri Jan 30 2026</v>
      </c>
      <c r="I79" t="str">
        <v>Fri Mar 06 2026</v>
      </c>
    </row>
    <row r="80">
      <c r="A80">
        <v>2635</v>
      </c>
      <c r="B80" t="str">
        <v xml:space="preserve">O. P. Joshi </v>
      </c>
      <c r="C80" t="str">
        <v>Male</v>
      </c>
      <c r="D80">
        <v>50</v>
      </c>
      <c r="E80">
        <v>50</v>
      </c>
      <c r="F80">
        <v>0</v>
      </c>
      <c r="G80" t="str">
        <v>Cash</v>
      </c>
      <c r="H80" t="str">
        <v>Thu Mar 05 2026</v>
      </c>
      <c r="I80" t="str">
        <v>Fri Mar 06 2026</v>
      </c>
    </row>
    <row r="81">
      <c r="A81">
        <v>2496</v>
      </c>
      <c r="B81" t="str">
        <v xml:space="preserve">Urmila Sharma </v>
      </c>
      <c r="C81" t="str">
        <v>Female</v>
      </c>
      <c r="D81">
        <v>50</v>
      </c>
      <c r="E81">
        <v>50</v>
      </c>
      <c r="F81">
        <v>0</v>
      </c>
      <c r="G81" t="str">
        <v>UPI</v>
      </c>
      <c r="H81" t="str">
        <v>Sat Feb 14 2026</v>
      </c>
      <c r="I81" t="str">
        <v>Fri Mar 06 2026</v>
      </c>
    </row>
    <row r="82">
      <c r="A82">
        <v>2592</v>
      </c>
      <c r="B82" t="str">
        <v xml:space="preserve">Tripti Yadav </v>
      </c>
      <c r="C82" t="str">
        <v>Female</v>
      </c>
      <c r="D82">
        <v>50</v>
      </c>
      <c r="E82">
        <v>50</v>
      </c>
      <c r="F82">
        <v>0</v>
      </c>
      <c r="G82" t="str">
        <v>Cash</v>
      </c>
      <c r="H82" t="str">
        <v>Thu Feb 26 2026</v>
      </c>
      <c r="I82" t="str">
        <v>Fri Mar 06 2026</v>
      </c>
    </row>
    <row r="83">
      <c r="A83">
        <v>2533</v>
      </c>
      <c r="B83" t="str">
        <v xml:space="preserve">Rekha Jain </v>
      </c>
      <c r="C83" t="str">
        <v>Female</v>
      </c>
      <c r="D83">
        <v>50</v>
      </c>
      <c r="E83">
        <v>50</v>
      </c>
      <c r="F83">
        <v>0</v>
      </c>
      <c r="G83" t="str">
        <v>Cash</v>
      </c>
      <c r="H83" t="str">
        <v>Sat Feb 21 2026</v>
      </c>
      <c r="I83" t="str">
        <v>Fri Mar 06 2026</v>
      </c>
    </row>
    <row r="84">
      <c r="A84">
        <v>2649</v>
      </c>
      <c r="B84" t="str">
        <v xml:space="preserve">Rupsingh Sisodiya </v>
      </c>
      <c r="C84" t="str">
        <v>Male</v>
      </c>
      <c r="D84">
        <v>110</v>
      </c>
      <c r="E84">
        <v>110</v>
      </c>
      <c r="F84">
        <v>0</v>
      </c>
      <c r="G84" t="str">
        <v>UPI</v>
      </c>
      <c r="H84" t="str">
        <v>Fri Mar 06 2026</v>
      </c>
      <c r="I84" t="str">
        <v>Fri Mar 06 2026</v>
      </c>
    </row>
    <row r="85">
      <c r="A85">
        <v>2538</v>
      </c>
      <c r="B85" t="str">
        <v>Sunil Sasane</v>
      </c>
      <c r="C85" t="str">
        <v>Male</v>
      </c>
      <c r="D85">
        <v>50</v>
      </c>
      <c r="E85">
        <v>50</v>
      </c>
      <c r="F85">
        <v>0</v>
      </c>
      <c r="G85" t="str">
        <v>Cash</v>
      </c>
      <c r="H85" t="str">
        <v>Sat Feb 21 2026</v>
      </c>
      <c r="I85" t="str">
        <v>Fri Mar 06 2026</v>
      </c>
    </row>
    <row r="86">
      <c r="A86">
        <v>1105</v>
      </c>
      <c r="B86" t="str">
        <v>Komal Patil</v>
      </c>
      <c r="C86" t="str">
        <v>Female</v>
      </c>
      <c r="D86">
        <v>50</v>
      </c>
      <c r="E86">
        <v>0</v>
      </c>
      <c r="F86">
        <v>50</v>
      </c>
      <c r="G86" t="str">
        <v>Cash</v>
      </c>
      <c r="H86" t="str">
        <v>Sat Aug 02 2025</v>
      </c>
      <c r="I86" t="str">
        <v>Fri Mar 06 2026</v>
      </c>
    </row>
  </sheetData>
  <ignoredErrors>
    <ignoredError numberStoredAsText="1" sqref="A1:N8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73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Thu Mar 05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SUM(D10:D73)</f>
      </c>
      <c r="B7" t="e">
        <f t="array" ref="B7">SUM(E10:E73)</f>
      </c>
      <c r="C7" t="e">
        <f t="array" ref="C7">SUMIF(G10:G73, "Cash", E10:E73)</f>
      </c>
      <c r="D7" t="e">
        <f t="array" ref="D7">SUMIF(G10:G73, "UPI", E10:E73)</f>
      </c>
      <c r="E7" t="e">
        <f t="array" ref="E7">COUNTA(G10:G73)</f>
      </c>
      <c r="F7" t="e">
        <f t="array" ref="F7">COUNTIF(G10:G73, "Cash")</f>
      </c>
      <c r="G7" t="e">
        <f t="array" ref="G7">COUNTIF(G10:G73, "UPI")</f>
      </c>
      <c r="H7" t="e">
        <f t="array" ref="H7">SUM(F10:F73)</f>
      </c>
      <c r="I7" t="e">
        <f t="array" ref="I7">COUNT(FILTER(F10:F73, F10:F73=D10:D73))</f>
      </c>
      <c r="J7" t="e">
        <f t="array" ref="J7">IFERROR(ROWS(UNIQUE(FILTER(A10:A73,C10:C73="Male"))),0)</f>
      </c>
      <c r="K7" t="e">
        <f t="array" ref="K7">IFERROR(ROWS(UNIQUE(FILTER(A10:A73,C10:C73="Female"))),0)</f>
      </c>
      <c r="L7" t="e">
        <f t="array" ref="L7">IFERROR(ROWS(UNIQUE(FILTER(A10:A73,H10:H73=I10))),0)</f>
      </c>
      <c r="M7" t="e">
        <f t="array" ref="M7">IFERROR(ROWS(UNIQUE(FILTER(A10:A73,H10:H73&lt;&gt;I10))),0)</f>
      </c>
      <c r="N7" t="e">
        <f t="array" ref="N7">IFERROR(ROWS(UNIQUE(A10:A73)),0)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2542</v>
      </c>
      <c r="B10" t="str">
        <v xml:space="preserve">Savita Singh </v>
      </c>
      <c r="C10" t="str">
        <v>Female</v>
      </c>
      <c r="D10">
        <v>50</v>
      </c>
      <c r="E10">
        <v>50</v>
      </c>
      <c r="F10">
        <v>0</v>
      </c>
      <c r="G10" t="str">
        <v>Cash</v>
      </c>
      <c r="H10" t="str">
        <v>Mon Feb 23 2026</v>
      </c>
      <c r="I10" t="str">
        <v>Thu Mar 05 2026</v>
      </c>
    </row>
    <row r="11">
      <c r="A11">
        <v>2610</v>
      </c>
      <c r="B11" t="str">
        <v xml:space="preserve">Sanjivani Solanki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Mon Mar 02 2026</v>
      </c>
      <c r="I11" t="str">
        <v>Thu Mar 05 2026</v>
      </c>
    </row>
    <row r="12">
      <c r="A12">
        <v>1917</v>
      </c>
      <c r="B12" t="str">
        <v xml:space="preserve">Ramesh Sharma </v>
      </c>
      <c r="C12" t="str">
        <v>Male</v>
      </c>
      <c r="D12">
        <v>50</v>
      </c>
      <c r="E12">
        <v>50</v>
      </c>
      <c r="F12">
        <v>0</v>
      </c>
      <c r="G12" t="str">
        <v>Cash</v>
      </c>
      <c r="H12" t="str">
        <v>Mon Dec 01 2025</v>
      </c>
      <c r="I12" t="str">
        <v>Thu Mar 05 2026</v>
      </c>
    </row>
    <row r="13">
      <c r="A13">
        <v>2499</v>
      </c>
      <c r="B13" t="str">
        <v xml:space="preserve">Ramesh Chandra 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Sat Feb 14 2026</v>
      </c>
      <c r="I13" t="str">
        <v>Thu Mar 05 2026</v>
      </c>
    </row>
    <row r="14">
      <c r="A14">
        <v>1645</v>
      </c>
      <c r="B14" t="str">
        <v>Jaiprakash Mishra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Oct 27 2025</v>
      </c>
      <c r="I14" t="str">
        <v>Thu Mar 05 2026</v>
      </c>
    </row>
    <row r="15">
      <c r="A15">
        <v>2613</v>
      </c>
      <c r="B15" t="str">
        <v xml:space="preserve">Rohit Bansal </v>
      </c>
      <c r="C15" t="str">
        <v>Male</v>
      </c>
      <c r="D15">
        <v>50</v>
      </c>
      <c r="E15">
        <v>50</v>
      </c>
      <c r="F15">
        <v>0</v>
      </c>
      <c r="G15" t="str">
        <v>Cash</v>
      </c>
      <c r="H15" t="str">
        <v>Mon Mar 02 2026</v>
      </c>
      <c r="I15" t="str">
        <v>Thu Mar 05 2026</v>
      </c>
    </row>
    <row r="16">
      <c r="A16">
        <v>2619</v>
      </c>
      <c r="B16" t="str">
        <v>Kailash Mathur</v>
      </c>
      <c r="C16" t="str">
        <v>Male</v>
      </c>
      <c r="D16">
        <v>50</v>
      </c>
      <c r="E16">
        <v>50</v>
      </c>
      <c r="F16">
        <v>0</v>
      </c>
      <c r="G16" t="str">
        <v>Cash</v>
      </c>
      <c r="H16" t="str">
        <v>Tue Mar 03 2026</v>
      </c>
      <c r="I16" t="str">
        <v>Thu Mar 05 2026</v>
      </c>
    </row>
    <row r="17">
      <c r="A17">
        <v>996</v>
      </c>
      <c r="B17" t="str">
        <v>Sarita Rathor</v>
      </c>
      <c r="C17" t="str">
        <v>Female</v>
      </c>
      <c r="D17">
        <v>50</v>
      </c>
      <c r="E17">
        <v>0</v>
      </c>
      <c r="F17">
        <v>50</v>
      </c>
      <c r="G17" t="str">
        <v>Cash</v>
      </c>
      <c r="H17" t="str">
        <v>Sat Jul 19 2025</v>
      </c>
      <c r="I17" t="str">
        <v>Thu Mar 05 2026</v>
      </c>
    </row>
    <row r="18">
      <c r="A18">
        <v>1437</v>
      </c>
      <c r="B18" t="str">
        <v>Suraj Dharve</v>
      </c>
      <c r="C18" t="str">
        <v>Female</v>
      </c>
      <c r="D18">
        <v>50</v>
      </c>
      <c r="E18">
        <v>0</v>
      </c>
      <c r="F18">
        <v>50</v>
      </c>
      <c r="G18" t="str">
        <v>Cash</v>
      </c>
      <c r="H18" t="str">
        <v>Fri Sep 19 2025</v>
      </c>
      <c r="I18" t="str">
        <v>Thu Mar 05 2026</v>
      </c>
    </row>
    <row r="19">
      <c r="A19">
        <v>2623</v>
      </c>
      <c r="B19" t="str">
        <v xml:space="preserve">Priti Kashyap </v>
      </c>
      <c r="C19" t="str">
        <v>Female</v>
      </c>
      <c r="D19">
        <v>110</v>
      </c>
      <c r="E19">
        <v>110</v>
      </c>
      <c r="F19">
        <v>0</v>
      </c>
      <c r="G19" t="str">
        <v>Cash</v>
      </c>
      <c r="H19" t="str">
        <v>Thu Mar 05 2026</v>
      </c>
      <c r="I19" t="str">
        <v>Thu Mar 05 2026</v>
      </c>
    </row>
    <row r="20">
      <c r="A20">
        <v>2414</v>
      </c>
      <c r="B20" t="str">
        <v xml:space="preserve">Vandana Khandelwal </v>
      </c>
      <c r="C20" t="str">
        <v>Female</v>
      </c>
      <c r="D20">
        <v>50</v>
      </c>
      <c r="E20">
        <v>50</v>
      </c>
      <c r="F20">
        <v>0</v>
      </c>
      <c r="G20" t="str">
        <v>Cash</v>
      </c>
      <c r="H20" t="str">
        <v>Thu Feb 05 2026</v>
      </c>
      <c r="I20" t="str">
        <v>Thu Mar 05 2026</v>
      </c>
    </row>
    <row r="21">
      <c r="A21">
        <v>2451</v>
      </c>
      <c r="B21" t="str">
        <v xml:space="preserve">Prakash Joshi </v>
      </c>
      <c r="C21" t="str">
        <v>Male</v>
      </c>
      <c r="D21">
        <v>70</v>
      </c>
      <c r="E21">
        <v>70</v>
      </c>
      <c r="F21">
        <v>0</v>
      </c>
      <c r="G21" t="str">
        <v>Cash</v>
      </c>
      <c r="H21" t="str">
        <v>Mon Feb 09 2026</v>
      </c>
      <c r="I21" t="str">
        <v>Thu Mar 05 2026</v>
      </c>
    </row>
    <row r="22">
      <c r="A22">
        <v>2593</v>
      </c>
      <c r="B22" t="str">
        <v xml:space="preserve">Anand Sharma </v>
      </c>
      <c r="C22" t="str">
        <v>Male</v>
      </c>
      <c r="D22">
        <v>70</v>
      </c>
      <c r="E22">
        <v>70</v>
      </c>
      <c r="F22">
        <v>0</v>
      </c>
      <c r="G22" t="str">
        <v>Cash</v>
      </c>
      <c r="H22" t="str">
        <v>Fri Feb 27 2026</v>
      </c>
      <c r="I22" t="str">
        <v>Thu Mar 05 2026</v>
      </c>
    </row>
    <row r="23">
      <c r="A23">
        <v>2471</v>
      </c>
      <c r="B23" t="str">
        <v>Ashwini Gundigawkar</v>
      </c>
      <c r="C23" t="str">
        <v>Female</v>
      </c>
      <c r="D23">
        <v>50</v>
      </c>
      <c r="E23">
        <v>50</v>
      </c>
      <c r="F23">
        <v>0</v>
      </c>
      <c r="G23" t="str">
        <v>Cash</v>
      </c>
      <c r="H23" t="str">
        <v>Wed Feb 11 2026</v>
      </c>
      <c r="I23" t="str">
        <v>Thu Mar 05 2026</v>
      </c>
    </row>
    <row r="24">
      <c r="A24">
        <v>2624</v>
      </c>
      <c r="B24" t="str">
        <v xml:space="preserve">Mukesh Chauhan </v>
      </c>
      <c r="C24" t="str">
        <v>Male</v>
      </c>
      <c r="D24">
        <v>110</v>
      </c>
      <c r="E24">
        <v>110</v>
      </c>
      <c r="F24">
        <v>0</v>
      </c>
      <c r="G24" t="str">
        <v>UPI</v>
      </c>
      <c r="H24" t="str">
        <v>Thu Mar 05 2026</v>
      </c>
      <c r="I24" t="str">
        <v>Thu Mar 05 2026</v>
      </c>
    </row>
    <row r="25">
      <c r="A25">
        <v>2584</v>
      </c>
      <c r="B25" t="str">
        <v xml:space="preserve">Lokesh Raghuvanshi </v>
      </c>
      <c r="C25" t="str">
        <v>Male</v>
      </c>
      <c r="D25">
        <v>70</v>
      </c>
      <c r="E25">
        <v>70</v>
      </c>
      <c r="F25">
        <v>0</v>
      </c>
      <c r="G25" t="str">
        <v>UPI</v>
      </c>
      <c r="H25" t="str">
        <v>Thu Feb 26 2026</v>
      </c>
      <c r="I25" t="str">
        <v>Thu Mar 05 2026</v>
      </c>
    </row>
    <row r="26">
      <c r="A26">
        <v>2605</v>
      </c>
      <c r="B26" t="str">
        <v>Kamlesh Belpatre</v>
      </c>
      <c r="C26" t="str">
        <v>Male</v>
      </c>
      <c r="D26">
        <v>50</v>
      </c>
      <c r="E26">
        <v>50</v>
      </c>
      <c r="F26">
        <v>0</v>
      </c>
      <c r="G26" t="str">
        <v>UPI</v>
      </c>
      <c r="H26" t="str">
        <v>Sat Feb 28 2026</v>
      </c>
      <c r="I26" t="str">
        <v>Thu Mar 05 2026</v>
      </c>
    </row>
    <row r="27">
      <c r="A27">
        <v>2611</v>
      </c>
      <c r="B27" t="str">
        <v>Maya Shipankar</v>
      </c>
      <c r="C27" t="str">
        <v>Female</v>
      </c>
      <c r="D27">
        <v>50</v>
      </c>
      <c r="E27">
        <v>50</v>
      </c>
      <c r="F27">
        <v>0</v>
      </c>
      <c r="G27" t="str">
        <v>UPI</v>
      </c>
      <c r="H27" t="str">
        <v>Mon Mar 02 2026</v>
      </c>
      <c r="I27" t="str">
        <v>Thu Mar 05 2026</v>
      </c>
    </row>
    <row r="28">
      <c r="A28">
        <v>2577</v>
      </c>
      <c r="B28" t="str">
        <v xml:space="preserve">Sunita Gupta </v>
      </c>
      <c r="C28" t="str">
        <v>Female</v>
      </c>
      <c r="D28">
        <v>50</v>
      </c>
      <c r="E28">
        <v>50</v>
      </c>
      <c r="F28">
        <v>0</v>
      </c>
      <c r="G28" t="str">
        <v>Cash</v>
      </c>
      <c r="H28" t="str">
        <v>Wed Feb 25 2026</v>
      </c>
      <c r="I28" t="str">
        <v>Thu Mar 05 2026</v>
      </c>
    </row>
    <row r="29">
      <c r="A29">
        <v>2618</v>
      </c>
      <c r="B29" t="str">
        <v xml:space="preserve">Pramod Paliwal </v>
      </c>
      <c r="C29" t="str">
        <v>Male</v>
      </c>
      <c r="D29">
        <v>50</v>
      </c>
      <c r="E29">
        <v>50</v>
      </c>
      <c r="F29">
        <v>0</v>
      </c>
      <c r="G29" t="str">
        <v>Cash</v>
      </c>
      <c r="H29" t="str">
        <v>Mon Mar 02 2026</v>
      </c>
      <c r="I29" t="str">
        <v>Thu Mar 05 2026</v>
      </c>
    </row>
    <row r="30">
      <c r="A30">
        <v>2569</v>
      </c>
      <c r="B30" t="str">
        <v>Suresh Malvi</v>
      </c>
      <c r="C30" t="str">
        <v>Male</v>
      </c>
      <c r="D30">
        <v>70</v>
      </c>
      <c r="E30">
        <v>70</v>
      </c>
      <c r="F30">
        <v>0</v>
      </c>
      <c r="G30" t="str">
        <v>Cash</v>
      </c>
      <c r="H30" t="str">
        <v>Tue Feb 24 2026</v>
      </c>
      <c r="I30" t="str">
        <v>Thu Mar 05 2026</v>
      </c>
    </row>
    <row r="31">
      <c r="A31">
        <v>2600</v>
      </c>
      <c r="B31" t="str">
        <v xml:space="preserve">Kiran Soni </v>
      </c>
      <c r="C31" t="str">
        <v>Female</v>
      </c>
      <c r="D31">
        <v>70</v>
      </c>
      <c r="E31">
        <v>70</v>
      </c>
      <c r="F31">
        <v>0</v>
      </c>
      <c r="G31" t="str">
        <v>UPI</v>
      </c>
      <c r="H31" t="str">
        <v>Sat Feb 28 2026</v>
      </c>
      <c r="I31" t="str">
        <v>Thu Mar 05 2026</v>
      </c>
    </row>
    <row r="32">
      <c r="A32">
        <v>2615</v>
      </c>
      <c r="B32" t="str">
        <v xml:space="preserve">Rupali yadav </v>
      </c>
      <c r="C32" t="str">
        <v>Female</v>
      </c>
      <c r="D32">
        <v>50</v>
      </c>
      <c r="E32">
        <v>50</v>
      </c>
      <c r="F32">
        <v>0</v>
      </c>
      <c r="G32" t="str">
        <v>Cash</v>
      </c>
      <c r="H32" t="str">
        <v>Mon Mar 02 2026</v>
      </c>
      <c r="I32" t="str">
        <v>Thu Mar 05 2026</v>
      </c>
    </row>
    <row r="33">
      <c r="A33">
        <v>2574</v>
      </c>
      <c r="B33" t="str">
        <v xml:space="preserve">Kshama Lovanshi </v>
      </c>
      <c r="C33" t="str">
        <v>Female</v>
      </c>
      <c r="D33">
        <v>50</v>
      </c>
      <c r="E33">
        <v>50</v>
      </c>
      <c r="F33">
        <v>0</v>
      </c>
      <c r="G33" t="str">
        <v>Cash</v>
      </c>
      <c r="H33" t="str">
        <v>Wed Feb 25 2026</v>
      </c>
      <c r="I33" t="str">
        <v>Thu Mar 05 2026</v>
      </c>
    </row>
    <row r="34">
      <c r="A34">
        <v>2625</v>
      </c>
      <c r="B34" t="str">
        <v>Vijay khetan</v>
      </c>
      <c r="C34" t="str">
        <v>Male</v>
      </c>
      <c r="D34">
        <v>110</v>
      </c>
      <c r="E34">
        <v>110</v>
      </c>
      <c r="F34">
        <v>0</v>
      </c>
      <c r="G34" t="str">
        <v>Cash</v>
      </c>
      <c r="H34" t="str">
        <v>Thu Mar 05 2026</v>
      </c>
      <c r="I34" t="str">
        <v>Thu Mar 05 2026</v>
      </c>
    </row>
    <row r="35">
      <c r="A35">
        <v>2626</v>
      </c>
      <c r="B35" t="str">
        <v xml:space="preserve">Lokesh Chouhan </v>
      </c>
      <c r="C35" t="str">
        <v>Male</v>
      </c>
      <c r="D35">
        <v>110</v>
      </c>
      <c r="E35">
        <v>110</v>
      </c>
      <c r="F35">
        <v>0</v>
      </c>
      <c r="G35" t="str">
        <v>UPI</v>
      </c>
      <c r="H35" t="str">
        <v>Thu Mar 05 2026</v>
      </c>
      <c r="I35" t="str">
        <v>Thu Mar 05 2026</v>
      </c>
    </row>
    <row r="36">
      <c r="A36">
        <v>2573</v>
      </c>
      <c r="B36" t="str">
        <v xml:space="preserve">Manbir Singh </v>
      </c>
      <c r="C36" t="str">
        <v>Male</v>
      </c>
      <c r="D36">
        <v>50</v>
      </c>
      <c r="E36">
        <v>50</v>
      </c>
      <c r="F36">
        <v>0</v>
      </c>
      <c r="G36" t="str">
        <v>UPI</v>
      </c>
      <c r="H36" t="str">
        <v>Wed Feb 25 2026</v>
      </c>
      <c r="I36" t="str">
        <v>Thu Mar 05 2026</v>
      </c>
    </row>
    <row r="37">
      <c r="A37">
        <v>2161</v>
      </c>
      <c r="B37" t="str">
        <v xml:space="preserve">Pooja Rathor </v>
      </c>
      <c r="C37" t="str">
        <v>Female</v>
      </c>
      <c r="D37">
        <v>50</v>
      </c>
      <c r="E37">
        <v>0</v>
      </c>
      <c r="F37">
        <v>50</v>
      </c>
      <c r="G37" t="str">
        <v>Cash</v>
      </c>
      <c r="H37" t="str">
        <v>Thu Jan 01 2026</v>
      </c>
      <c r="I37" t="str">
        <v>Thu Mar 05 2026</v>
      </c>
    </row>
    <row r="38">
      <c r="A38">
        <v>2604</v>
      </c>
      <c r="B38" t="str">
        <v xml:space="preserve">Laxmi Bhanopia </v>
      </c>
      <c r="C38" t="str">
        <v>Female</v>
      </c>
      <c r="D38">
        <v>50</v>
      </c>
      <c r="E38">
        <v>50</v>
      </c>
      <c r="F38">
        <v>0</v>
      </c>
      <c r="G38" t="str">
        <v>Cash</v>
      </c>
      <c r="H38" t="str">
        <v>Sat Feb 28 2026</v>
      </c>
      <c r="I38" t="str">
        <v>Thu Mar 05 2026</v>
      </c>
    </row>
    <row r="39">
      <c r="A39">
        <v>2568</v>
      </c>
      <c r="B39" t="str">
        <v>Shakti Sen</v>
      </c>
      <c r="C39" t="str">
        <v>Male</v>
      </c>
      <c r="D39">
        <v>50</v>
      </c>
      <c r="E39">
        <v>50</v>
      </c>
      <c r="F39">
        <v>0</v>
      </c>
      <c r="G39" t="str">
        <v>UPI</v>
      </c>
      <c r="H39" t="str">
        <v>Tue Feb 24 2026</v>
      </c>
      <c r="I39" t="str">
        <v>Thu Mar 05 2026</v>
      </c>
    </row>
    <row r="40">
      <c r="A40">
        <v>2580</v>
      </c>
      <c r="B40" t="str">
        <v xml:space="preserve">Vilas Bhangale </v>
      </c>
      <c r="C40" t="str">
        <v>Male</v>
      </c>
      <c r="D40">
        <v>50</v>
      </c>
      <c r="E40">
        <v>50</v>
      </c>
      <c r="F40">
        <v>0</v>
      </c>
      <c r="G40" t="str">
        <v>Cash</v>
      </c>
      <c r="H40" t="str">
        <v>Wed Feb 25 2026</v>
      </c>
      <c r="I40" t="str">
        <v>Thu Mar 05 2026</v>
      </c>
    </row>
    <row r="41">
      <c r="A41">
        <v>2594</v>
      </c>
      <c r="B41" t="str">
        <v xml:space="preserve">Lila Raghuvanshi </v>
      </c>
      <c r="C41" t="str">
        <v>Female</v>
      </c>
      <c r="D41">
        <v>70</v>
      </c>
      <c r="E41">
        <v>70</v>
      </c>
      <c r="F41">
        <v>0</v>
      </c>
      <c r="G41" t="str">
        <v>Cash</v>
      </c>
      <c r="H41" t="str">
        <v>Fri Feb 27 2026</v>
      </c>
      <c r="I41" t="str">
        <v>Thu Mar 05 2026</v>
      </c>
    </row>
    <row r="42">
      <c r="A42">
        <v>2403</v>
      </c>
      <c r="B42" t="str">
        <v>Pradip Maji</v>
      </c>
      <c r="C42" t="str">
        <v>Male</v>
      </c>
      <c r="D42">
        <v>110</v>
      </c>
      <c r="E42">
        <v>110</v>
      </c>
      <c r="F42">
        <v>0</v>
      </c>
      <c r="G42" t="str">
        <v>Cash</v>
      </c>
      <c r="H42" t="str">
        <v>Wed Feb 04 2026</v>
      </c>
      <c r="I42" t="str">
        <v>Thu Mar 05 2026</v>
      </c>
    </row>
    <row r="43">
      <c r="A43">
        <v>2498</v>
      </c>
      <c r="B43" t="str">
        <v>Shanti Saad</v>
      </c>
      <c r="C43" t="str">
        <v>Female</v>
      </c>
      <c r="D43">
        <v>50</v>
      </c>
      <c r="E43">
        <v>50</v>
      </c>
      <c r="F43">
        <v>0</v>
      </c>
      <c r="G43" t="str">
        <v>UPI</v>
      </c>
      <c r="H43" t="str">
        <v>Sat Feb 14 2026</v>
      </c>
      <c r="I43" t="str">
        <v>Thu Mar 05 2026</v>
      </c>
    </row>
    <row r="44">
      <c r="A44">
        <v>2524</v>
      </c>
      <c r="B44" t="str">
        <v xml:space="preserve">Govind Gupta </v>
      </c>
      <c r="C44" t="str">
        <v>Male</v>
      </c>
      <c r="D44">
        <v>50</v>
      </c>
      <c r="E44">
        <v>50</v>
      </c>
      <c r="F44">
        <v>0</v>
      </c>
      <c r="G44" t="str">
        <v>Cash</v>
      </c>
      <c r="H44" t="str">
        <v>Wed Feb 18 2026</v>
      </c>
      <c r="I44" t="str">
        <v>Thu Mar 05 2026</v>
      </c>
    </row>
    <row r="45">
      <c r="A45">
        <v>2382</v>
      </c>
      <c r="B45" t="str">
        <v xml:space="preserve">Vijay Rathore </v>
      </c>
      <c r="C45" t="str">
        <v>Male</v>
      </c>
      <c r="D45">
        <v>50</v>
      </c>
      <c r="E45">
        <v>50</v>
      </c>
      <c r="F45">
        <v>0</v>
      </c>
      <c r="G45" t="str">
        <v>Cash</v>
      </c>
      <c r="H45" t="str">
        <v>Mon Feb 02 2026</v>
      </c>
      <c r="I45" t="str">
        <v>Thu Mar 05 2026</v>
      </c>
    </row>
    <row r="46">
      <c r="A46">
        <v>2627</v>
      </c>
      <c r="B46" t="str">
        <v xml:space="preserve">Harbhajan Raghuvanshi </v>
      </c>
      <c r="C46" t="str">
        <v>Male</v>
      </c>
      <c r="D46">
        <v>110</v>
      </c>
      <c r="E46">
        <v>110</v>
      </c>
      <c r="F46">
        <v>0</v>
      </c>
      <c r="G46" t="str">
        <v>Cash</v>
      </c>
      <c r="H46" t="str">
        <v>Thu Mar 05 2026</v>
      </c>
      <c r="I46" t="str">
        <v>Thu Mar 05 2026</v>
      </c>
    </row>
    <row r="47">
      <c r="A47">
        <v>2587</v>
      </c>
      <c r="B47" t="str">
        <v xml:space="preserve">Kamla Prajapat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Thu Feb 26 2026</v>
      </c>
      <c r="I47" t="str">
        <v>Thu Mar 05 2026</v>
      </c>
    </row>
    <row r="48">
      <c r="A48">
        <v>2486</v>
      </c>
      <c r="B48" t="str">
        <v xml:space="preserve">Uma Shukla </v>
      </c>
      <c r="C48" t="str">
        <v>Female</v>
      </c>
      <c r="D48">
        <v>50</v>
      </c>
      <c r="E48">
        <v>50</v>
      </c>
      <c r="F48">
        <v>0</v>
      </c>
      <c r="G48" t="str">
        <v>UPI</v>
      </c>
      <c r="H48" t="str">
        <v>Thu Feb 12 2026</v>
      </c>
      <c r="I48" t="str">
        <v>Thu Mar 05 2026</v>
      </c>
    </row>
    <row r="49">
      <c r="A49">
        <v>2559</v>
      </c>
      <c r="B49" t="str">
        <v xml:space="preserve">Rajkumar Jain </v>
      </c>
      <c r="C49" t="str">
        <v>Male</v>
      </c>
      <c r="D49">
        <v>50</v>
      </c>
      <c r="E49">
        <v>50</v>
      </c>
      <c r="F49">
        <v>0</v>
      </c>
      <c r="G49" t="str">
        <v>Cash</v>
      </c>
      <c r="H49" t="str">
        <v>Tue Feb 24 2026</v>
      </c>
      <c r="I49" t="str">
        <v>Thu Mar 05 2026</v>
      </c>
    </row>
    <row r="50">
      <c r="A50">
        <v>2228</v>
      </c>
      <c r="B50" t="str">
        <v>Sudhakar Rao Pawar</v>
      </c>
      <c r="C50" t="str">
        <v>Male</v>
      </c>
      <c r="D50">
        <v>50</v>
      </c>
      <c r="E50">
        <v>50</v>
      </c>
      <c r="F50">
        <v>0</v>
      </c>
      <c r="G50" t="str">
        <v>Cash</v>
      </c>
      <c r="H50" t="str">
        <v>Tue Jan 13 2026</v>
      </c>
      <c r="I50" t="str">
        <v>Thu Mar 05 2026</v>
      </c>
    </row>
    <row r="51">
      <c r="A51">
        <v>2456</v>
      </c>
      <c r="B51" t="str">
        <v xml:space="preserve">D. P. Goyal 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Mon Feb 09 2026</v>
      </c>
      <c r="I51" t="str">
        <v>Thu Mar 05 2026</v>
      </c>
    </row>
    <row r="52">
      <c r="A52">
        <v>2621</v>
      </c>
      <c r="B52" t="str">
        <v xml:space="preserve">Priyanka Gupta </v>
      </c>
      <c r="C52" t="str">
        <v>Female</v>
      </c>
      <c r="D52">
        <v>50</v>
      </c>
      <c r="E52">
        <v>50</v>
      </c>
      <c r="F52">
        <v>0</v>
      </c>
      <c r="G52" t="str">
        <v>Cash</v>
      </c>
      <c r="H52" t="str">
        <v>Tue Mar 03 2026</v>
      </c>
      <c r="I52" t="str">
        <v>Thu Mar 05 2026</v>
      </c>
    </row>
    <row r="53">
      <c r="A53">
        <v>2305</v>
      </c>
      <c r="B53" t="str">
        <v xml:space="preserve">Mahendra Varma </v>
      </c>
      <c r="C53" t="str">
        <v>Male</v>
      </c>
      <c r="D53">
        <v>130</v>
      </c>
      <c r="E53">
        <v>130</v>
      </c>
      <c r="F53">
        <v>0</v>
      </c>
      <c r="G53" t="str">
        <v>Cash</v>
      </c>
      <c r="H53" t="str">
        <v>Thu Jan 22 2026</v>
      </c>
      <c r="I53" t="str">
        <v>Thu Mar 05 2026</v>
      </c>
    </row>
    <row r="54">
      <c r="A54">
        <v>2590</v>
      </c>
      <c r="B54" t="str">
        <v>Kanchan Bai</v>
      </c>
      <c r="C54" t="str">
        <v>Female</v>
      </c>
      <c r="D54">
        <v>50</v>
      </c>
      <c r="E54">
        <v>50</v>
      </c>
      <c r="F54">
        <v>0</v>
      </c>
      <c r="G54" t="str">
        <v>Cash</v>
      </c>
      <c r="H54" t="str">
        <v>Thu Feb 26 2026</v>
      </c>
      <c r="I54" t="str">
        <v>Thu Mar 05 2026</v>
      </c>
    </row>
    <row r="55">
      <c r="A55">
        <v>2628</v>
      </c>
      <c r="B55" t="str">
        <v xml:space="preserve">Arun Gupta </v>
      </c>
      <c r="C55" t="str">
        <v>Male</v>
      </c>
      <c r="D55">
        <v>110</v>
      </c>
      <c r="E55">
        <v>110</v>
      </c>
      <c r="F55">
        <v>0</v>
      </c>
      <c r="G55" t="str">
        <v>Cash</v>
      </c>
      <c r="H55" t="str">
        <v>Thu Mar 05 2026</v>
      </c>
      <c r="I55" t="str">
        <v>Thu Mar 05 2026</v>
      </c>
    </row>
    <row r="56">
      <c r="A56">
        <v>2629</v>
      </c>
      <c r="B56" t="str">
        <v>Surjit adak</v>
      </c>
      <c r="C56" t="str">
        <v>Male</v>
      </c>
      <c r="D56">
        <v>110</v>
      </c>
      <c r="E56">
        <v>110</v>
      </c>
      <c r="F56">
        <v>0</v>
      </c>
      <c r="G56" t="str">
        <v>Cash</v>
      </c>
      <c r="H56" t="str">
        <v>Thu Mar 05 2026</v>
      </c>
      <c r="I56" t="str">
        <v>Thu Mar 05 2026</v>
      </c>
    </row>
    <row r="57">
      <c r="A57">
        <v>2536</v>
      </c>
      <c r="B57" t="str">
        <v>Rajendra Yadav</v>
      </c>
      <c r="C57" t="str">
        <v>Male</v>
      </c>
      <c r="D57">
        <v>70</v>
      </c>
      <c r="E57">
        <v>70</v>
      </c>
      <c r="F57">
        <v>0</v>
      </c>
      <c r="G57" t="str">
        <v>Cash</v>
      </c>
      <c r="H57" t="str">
        <v>Sat Feb 21 2026</v>
      </c>
      <c r="I57" t="str">
        <v>Thu Mar 05 2026</v>
      </c>
    </row>
    <row r="58">
      <c r="A58">
        <v>2630</v>
      </c>
      <c r="B58" t="str">
        <v xml:space="preserve">Pankaj Gupta </v>
      </c>
      <c r="C58" t="str">
        <v>Male</v>
      </c>
      <c r="D58">
        <v>110</v>
      </c>
      <c r="E58">
        <v>110</v>
      </c>
      <c r="F58">
        <v>0</v>
      </c>
      <c r="G58" t="str">
        <v>Cash</v>
      </c>
      <c r="H58" t="str">
        <v>Thu Mar 05 2026</v>
      </c>
      <c r="I58" t="str">
        <v>Thu Mar 05 2026</v>
      </c>
    </row>
    <row r="59">
      <c r="A59">
        <v>870</v>
      </c>
      <c r="B59" t="str">
        <v>Vinita Pancholi</v>
      </c>
      <c r="C59" t="str">
        <v>Female</v>
      </c>
      <c r="D59">
        <v>50</v>
      </c>
      <c r="E59">
        <v>0</v>
      </c>
      <c r="F59">
        <v>50</v>
      </c>
      <c r="G59" t="str">
        <v>Cash</v>
      </c>
      <c r="H59" t="str">
        <v>Sat Jul 05 2025</v>
      </c>
      <c r="I59" t="str">
        <v>Thu Mar 05 2026</v>
      </c>
    </row>
    <row r="60">
      <c r="A60">
        <v>2631</v>
      </c>
      <c r="B60" t="str">
        <v xml:space="preserve">Shubham Parihar </v>
      </c>
      <c r="C60" t="str">
        <v>Male</v>
      </c>
      <c r="D60">
        <v>110</v>
      </c>
      <c r="E60">
        <v>110</v>
      </c>
      <c r="F60">
        <v>0</v>
      </c>
      <c r="G60" t="str">
        <v>UPI</v>
      </c>
      <c r="H60" t="str">
        <v>Thu Mar 05 2026</v>
      </c>
      <c r="I60" t="str">
        <v>Thu Mar 05 2026</v>
      </c>
    </row>
    <row r="61">
      <c r="A61">
        <v>2614</v>
      </c>
      <c r="B61" t="str">
        <v xml:space="preserve">Sushma Morya </v>
      </c>
      <c r="C61" t="str">
        <v>Female</v>
      </c>
      <c r="D61">
        <v>50</v>
      </c>
      <c r="E61">
        <v>50</v>
      </c>
      <c r="F61">
        <v>0</v>
      </c>
      <c r="G61" t="str">
        <v>Cash</v>
      </c>
      <c r="H61" t="str">
        <v>Mon Mar 02 2026</v>
      </c>
      <c r="I61" t="str">
        <v>Thu Mar 05 2026</v>
      </c>
    </row>
    <row r="62">
      <c r="A62">
        <v>2552</v>
      </c>
      <c r="B62" t="str">
        <v>Priti Verma</v>
      </c>
      <c r="C62" t="str">
        <v>Female</v>
      </c>
      <c r="D62">
        <v>50</v>
      </c>
      <c r="E62">
        <v>50</v>
      </c>
      <c r="F62">
        <v>0</v>
      </c>
      <c r="G62" t="str">
        <v>Cash</v>
      </c>
      <c r="H62" t="str">
        <v>Mon Feb 23 2026</v>
      </c>
      <c r="I62" t="str">
        <v>Thu Mar 05 2026</v>
      </c>
    </row>
    <row r="63">
      <c r="A63">
        <v>2592</v>
      </c>
      <c r="B63" t="str">
        <v xml:space="preserve">Tripti Yadav </v>
      </c>
      <c r="C63" t="str">
        <v>Female</v>
      </c>
      <c r="D63">
        <v>50</v>
      </c>
      <c r="E63">
        <v>50</v>
      </c>
      <c r="F63">
        <v>0</v>
      </c>
      <c r="G63" t="str">
        <v>Cash</v>
      </c>
      <c r="H63" t="str">
        <v>Thu Feb 26 2026</v>
      </c>
      <c r="I63" t="str">
        <v>Thu Mar 05 2026</v>
      </c>
    </row>
    <row r="64">
      <c r="A64">
        <v>2632</v>
      </c>
      <c r="B64" t="str">
        <v xml:space="preserve">Gorishankar Gurjar </v>
      </c>
      <c r="C64" t="str">
        <v>Male</v>
      </c>
      <c r="D64">
        <v>110</v>
      </c>
      <c r="E64">
        <v>110</v>
      </c>
      <c r="F64">
        <v>0</v>
      </c>
      <c r="G64" t="str">
        <v>Cash</v>
      </c>
      <c r="H64" t="str">
        <v>Thu Mar 05 2026</v>
      </c>
      <c r="I64" t="str">
        <v>Thu Mar 05 2026</v>
      </c>
    </row>
    <row r="65">
      <c r="A65">
        <v>2633</v>
      </c>
      <c r="B65" t="str">
        <v xml:space="preserve">Resham Baghel </v>
      </c>
      <c r="C65" t="str">
        <v>Female</v>
      </c>
      <c r="D65">
        <v>110</v>
      </c>
      <c r="E65">
        <v>110</v>
      </c>
      <c r="F65">
        <v>0</v>
      </c>
      <c r="G65" t="str">
        <v>Cash</v>
      </c>
      <c r="H65" t="str">
        <v>Thu Mar 05 2026</v>
      </c>
      <c r="I65" t="str">
        <v>Thu Mar 05 2026</v>
      </c>
    </row>
    <row r="66">
      <c r="A66">
        <v>2617</v>
      </c>
      <c r="B66" t="str">
        <v xml:space="preserve">Kirti Jain </v>
      </c>
      <c r="C66" t="str">
        <v>Female</v>
      </c>
      <c r="D66">
        <v>70</v>
      </c>
      <c r="E66">
        <v>70</v>
      </c>
      <c r="F66">
        <v>0</v>
      </c>
      <c r="G66" t="str">
        <v>Cash</v>
      </c>
      <c r="H66" t="str">
        <v>Mon Mar 02 2026</v>
      </c>
      <c r="I66" t="str">
        <v>Thu Mar 05 2026</v>
      </c>
    </row>
    <row r="67">
      <c r="A67">
        <v>2634</v>
      </c>
      <c r="B67" t="str">
        <v xml:space="preserve">Rajesh Kashyap </v>
      </c>
      <c r="C67" t="str">
        <v>Male</v>
      </c>
      <c r="D67">
        <v>110</v>
      </c>
      <c r="E67">
        <v>110</v>
      </c>
      <c r="F67">
        <v>0</v>
      </c>
      <c r="G67" t="str">
        <v>Cash</v>
      </c>
      <c r="H67" t="str">
        <v>Thu Mar 05 2026</v>
      </c>
      <c r="I67" t="str">
        <v>Thu Mar 05 2026</v>
      </c>
    </row>
    <row r="68">
      <c r="A68">
        <v>2635</v>
      </c>
      <c r="B68" t="str">
        <v xml:space="preserve">O. P. Joshi </v>
      </c>
      <c r="C68" t="str">
        <v>Male</v>
      </c>
      <c r="D68">
        <v>110</v>
      </c>
      <c r="E68">
        <v>110</v>
      </c>
      <c r="F68">
        <v>0</v>
      </c>
      <c r="G68" t="str">
        <v>Cash</v>
      </c>
      <c r="H68" t="str">
        <v>Thu Mar 05 2026</v>
      </c>
      <c r="I68" t="str">
        <v>Thu Mar 05 2026</v>
      </c>
    </row>
    <row r="69">
      <c r="A69">
        <v>2636</v>
      </c>
      <c r="B69" t="str">
        <v>Chandra Shekhar Raj</v>
      </c>
      <c r="C69" t="str">
        <v>Male</v>
      </c>
      <c r="D69">
        <v>110</v>
      </c>
      <c r="E69">
        <v>110</v>
      </c>
      <c r="F69">
        <v>0</v>
      </c>
      <c r="G69" t="str">
        <v>UPI</v>
      </c>
      <c r="H69" t="str">
        <v>Thu Mar 05 2026</v>
      </c>
      <c r="I69" t="str">
        <v>Thu Mar 05 2026</v>
      </c>
    </row>
    <row r="70">
      <c r="A70">
        <v>2538</v>
      </c>
      <c r="B70" t="str">
        <v>Sunil Sasane</v>
      </c>
      <c r="C70" t="str">
        <v>Male</v>
      </c>
      <c r="D70">
        <v>50</v>
      </c>
      <c r="E70">
        <v>50</v>
      </c>
      <c r="F70">
        <v>0</v>
      </c>
      <c r="G70" t="str">
        <v>Cash</v>
      </c>
      <c r="H70" t="str">
        <v>Sat Feb 21 2026</v>
      </c>
      <c r="I70" t="str">
        <v>Thu Mar 05 2026</v>
      </c>
    </row>
    <row r="71">
      <c r="A71">
        <v>2533</v>
      </c>
      <c r="B71" t="str">
        <v xml:space="preserve">Rekha Jain </v>
      </c>
      <c r="C71" t="str">
        <v>Female</v>
      </c>
      <c r="D71">
        <v>50</v>
      </c>
      <c r="E71">
        <v>50</v>
      </c>
      <c r="F71">
        <v>0</v>
      </c>
      <c r="G71" t="str">
        <v>Cash</v>
      </c>
      <c r="H71" t="str">
        <v>Sat Feb 21 2026</v>
      </c>
      <c r="I71" t="str">
        <v>Thu Mar 05 2026</v>
      </c>
    </row>
    <row r="72">
      <c r="A72">
        <v>2598</v>
      </c>
      <c r="B72" t="str">
        <v xml:space="preserve">Laxmi piplodiya 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Fri Feb 27 2026</v>
      </c>
      <c r="I72" t="str">
        <v>Thu Mar 05 2026</v>
      </c>
    </row>
    <row r="73">
      <c r="A73">
        <v>2637</v>
      </c>
      <c r="B73" t="str">
        <v xml:space="preserve">Aakash Chourasia </v>
      </c>
      <c r="C73" t="str">
        <v>Male</v>
      </c>
      <c r="D73">
        <v>110</v>
      </c>
      <c r="E73">
        <v>110</v>
      </c>
      <c r="F73">
        <v>0</v>
      </c>
      <c r="G73" t="str">
        <v>UPI</v>
      </c>
      <c r="H73" t="str">
        <v>Thu Mar 05 2026</v>
      </c>
      <c r="I73" t="str">
        <v>Thu Mar 05 2026</v>
      </c>
    </row>
  </sheetData>
  <ignoredErrors>
    <ignoredError numberStoredAsText="1" sqref="A1:N7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55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Tue Mar 03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SUM(D10:D55)</f>
      </c>
      <c r="B7" t="e">
        <f t="array" ref="B7">SUM(E10:E55)</f>
      </c>
      <c r="C7" t="e">
        <f t="array" ref="C7">SUMIF(G10:G55, "Cash", E10:E55)</f>
      </c>
      <c r="D7" t="e">
        <f t="array" ref="D7">SUMIF(G10:G55, "UPI", E10:E55)</f>
      </c>
      <c r="E7" t="e">
        <f t="array" ref="E7">COUNTA(G10:G55)</f>
      </c>
      <c r="F7" t="e">
        <f t="array" ref="F7">COUNTIF(G10:G55, "Cash")</f>
      </c>
      <c r="G7" t="e">
        <f t="array" ref="G7">COUNTIF(G10:G55, "UPI")</f>
      </c>
      <c r="H7" t="e">
        <f t="array" ref="H7">SUM(F10:F55)</f>
      </c>
      <c r="I7" t="e">
        <f t="array" ref="I7">COUNT(FILTER(F10:F55, F10:F55=D10:D55))</f>
      </c>
      <c r="J7" t="e">
        <f t="array" ref="J7">IFERROR(ROWS(UNIQUE(FILTER(A10:A55,C10:C55="Male"))),0)</f>
      </c>
      <c r="K7" t="e">
        <f t="array" ref="K7">IFERROR(ROWS(UNIQUE(FILTER(A10:A55,C10:C55="Female"))),0)</f>
      </c>
      <c r="L7" t="e">
        <f t="array" ref="L7">IFERROR(ROWS(UNIQUE(FILTER(A10:A55,H10:H55=I10))),0)</f>
      </c>
      <c r="M7" t="e">
        <f t="array" ref="M7">IFERROR(ROWS(UNIQUE(FILTER(A10:A55,H10:H55&lt;&gt;I10))),0)</f>
      </c>
      <c r="N7" t="e">
        <f t="array" ref="N7">IFERROR(ROWS(UNIQUE(A10:A55)),0)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2542</v>
      </c>
      <c r="B10" t="str">
        <v xml:space="preserve">Savita Singh </v>
      </c>
      <c r="C10" t="str">
        <v>Female</v>
      </c>
      <c r="D10">
        <v>50</v>
      </c>
      <c r="E10">
        <v>50</v>
      </c>
      <c r="F10">
        <v>0</v>
      </c>
      <c r="G10" t="str">
        <v>Cash</v>
      </c>
      <c r="H10" t="str">
        <v>Mon Feb 23 2026</v>
      </c>
      <c r="I10" t="str">
        <v>Tue Mar 03 2026</v>
      </c>
    </row>
    <row r="11">
      <c r="A11">
        <v>2610</v>
      </c>
      <c r="B11" t="str">
        <v xml:space="preserve">Sanjivani Solanki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Mon Mar 02 2026</v>
      </c>
      <c r="I11" t="str">
        <v>Tue Mar 03 2026</v>
      </c>
    </row>
    <row r="12">
      <c r="A12">
        <v>2414</v>
      </c>
      <c r="B12" t="str">
        <v xml:space="preserve">Vandana Khandelwal </v>
      </c>
      <c r="C12" t="str">
        <v>Female</v>
      </c>
      <c r="D12">
        <v>50</v>
      </c>
      <c r="E12">
        <v>50</v>
      </c>
      <c r="F12">
        <v>0</v>
      </c>
      <c r="G12" t="str">
        <v>UPI</v>
      </c>
      <c r="H12" t="str">
        <v>Thu Feb 05 2026</v>
      </c>
      <c r="I12" t="str">
        <v>Tue Mar 03 2026</v>
      </c>
    </row>
    <row r="13">
      <c r="A13">
        <v>2613</v>
      </c>
      <c r="B13" t="str">
        <v xml:space="preserve">Rohit Bansal 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Mon Mar 02 2026</v>
      </c>
      <c r="I13" t="str">
        <v>Tue Mar 03 2026</v>
      </c>
    </row>
    <row r="14">
      <c r="A14">
        <v>2616</v>
      </c>
      <c r="B14" t="str">
        <v xml:space="preserve">Vikas Gupta </v>
      </c>
      <c r="C14" t="str">
        <v>Male</v>
      </c>
      <c r="D14">
        <v>50</v>
      </c>
      <c r="E14">
        <v>50</v>
      </c>
      <c r="F14">
        <v>0</v>
      </c>
      <c r="G14" t="str">
        <v>Cash</v>
      </c>
      <c r="H14" t="str">
        <v>Mon Mar 02 2026</v>
      </c>
      <c r="I14" t="str">
        <v>Tue Mar 03 2026</v>
      </c>
    </row>
    <row r="15">
      <c r="A15">
        <v>2612</v>
      </c>
      <c r="B15" t="str">
        <v xml:space="preserve">Minakshi Yadav </v>
      </c>
      <c r="C15" t="str">
        <v>Female</v>
      </c>
      <c r="D15">
        <v>60</v>
      </c>
      <c r="E15">
        <v>60</v>
      </c>
      <c r="F15">
        <v>0</v>
      </c>
      <c r="G15" t="str">
        <v>Cash</v>
      </c>
      <c r="H15" t="str">
        <v>Mon Mar 02 2026</v>
      </c>
      <c r="I15" t="str">
        <v>Tue Mar 03 2026</v>
      </c>
    </row>
    <row r="16">
      <c r="A16">
        <v>2493</v>
      </c>
      <c r="B16" t="str">
        <v xml:space="preserve">Shivkaran Singh </v>
      </c>
      <c r="C16" t="str">
        <v>Male</v>
      </c>
      <c r="D16">
        <v>70</v>
      </c>
      <c r="E16">
        <v>70</v>
      </c>
      <c r="F16">
        <v>0</v>
      </c>
      <c r="G16" t="str">
        <v>UPI</v>
      </c>
      <c r="H16" t="str">
        <v>Sat Feb 14 2026</v>
      </c>
      <c r="I16" t="str">
        <v>Tue Mar 03 2026</v>
      </c>
    </row>
    <row r="17">
      <c r="A17">
        <v>2289</v>
      </c>
      <c r="B17" t="str">
        <v xml:space="preserve">Jaibir Singh </v>
      </c>
      <c r="C17" t="str">
        <v>Male</v>
      </c>
      <c r="D17">
        <v>50</v>
      </c>
      <c r="E17">
        <v>50</v>
      </c>
      <c r="F17">
        <v>0</v>
      </c>
      <c r="G17" t="str">
        <v>Cash</v>
      </c>
      <c r="H17" t="str">
        <v>Tue Jan 20 2026</v>
      </c>
      <c r="I17" t="str">
        <v>Tue Mar 03 2026</v>
      </c>
    </row>
    <row r="18">
      <c r="A18">
        <v>2577</v>
      </c>
      <c r="B18" t="str">
        <v xml:space="preserve">Sunita Gupta </v>
      </c>
      <c r="C18" t="str">
        <v>Female</v>
      </c>
      <c r="D18">
        <v>50</v>
      </c>
      <c r="E18">
        <v>50</v>
      </c>
      <c r="F18">
        <v>0</v>
      </c>
      <c r="G18" t="str">
        <v>Cash</v>
      </c>
      <c r="H18" t="str">
        <v>Wed Feb 25 2026</v>
      </c>
      <c r="I18" t="str">
        <v>Tue Mar 03 2026</v>
      </c>
    </row>
    <row r="19">
      <c r="A19">
        <v>2605</v>
      </c>
      <c r="B19" t="str">
        <v>Kamlesh Belpatre</v>
      </c>
      <c r="C19" t="str">
        <v>Male</v>
      </c>
      <c r="D19">
        <v>50</v>
      </c>
      <c r="E19">
        <v>50</v>
      </c>
      <c r="F19">
        <v>0</v>
      </c>
      <c r="G19" t="str">
        <v>Cash</v>
      </c>
      <c r="H19" t="str">
        <v>Sat Feb 28 2026</v>
      </c>
      <c r="I19" t="str">
        <v>Tue Mar 03 2026</v>
      </c>
    </row>
    <row r="20">
      <c r="A20">
        <v>2569</v>
      </c>
      <c r="B20" t="str">
        <v>Suresh Malvi</v>
      </c>
      <c r="C20" t="str">
        <v>Male</v>
      </c>
      <c r="D20">
        <v>70</v>
      </c>
      <c r="E20">
        <v>70</v>
      </c>
      <c r="F20">
        <v>0</v>
      </c>
      <c r="G20" t="str">
        <v>Cash</v>
      </c>
      <c r="H20" t="str">
        <v>Tue Feb 24 2026</v>
      </c>
      <c r="I20" t="str">
        <v>Tue Mar 03 2026</v>
      </c>
    </row>
    <row r="21">
      <c r="A21">
        <v>996</v>
      </c>
      <c r="B21" t="str">
        <v>Sarita Rathor</v>
      </c>
      <c r="C21" t="str">
        <v>Female</v>
      </c>
      <c r="D21">
        <v>50</v>
      </c>
      <c r="E21">
        <v>0</v>
      </c>
      <c r="F21">
        <v>50</v>
      </c>
      <c r="G21" t="str">
        <v>Cash</v>
      </c>
      <c r="H21" t="str">
        <v>Sat Jul 19 2025</v>
      </c>
      <c r="I21" t="str">
        <v>Tue Mar 03 2026</v>
      </c>
    </row>
    <row r="22">
      <c r="A22">
        <v>1437</v>
      </c>
      <c r="B22" t="str">
        <v>Suraj Dharve</v>
      </c>
      <c r="C22" t="str">
        <v>Female</v>
      </c>
      <c r="D22">
        <v>50</v>
      </c>
      <c r="E22">
        <v>0</v>
      </c>
      <c r="F22">
        <v>50</v>
      </c>
      <c r="G22" t="str">
        <v>Cash</v>
      </c>
      <c r="H22" t="str">
        <v>Fri Sep 19 2025</v>
      </c>
      <c r="I22" t="str">
        <v>Tue Mar 03 2026</v>
      </c>
    </row>
    <row r="23">
      <c r="A23">
        <v>2565</v>
      </c>
      <c r="B23" t="str">
        <v xml:space="preserve">Sadhana Pateriya </v>
      </c>
      <c r="C23" t="str">
        <v>Female</v>
      </c>
      <c r="D23">
        <v>70</v>
      </c>
      <c r="E23">
        <v>70</v>
      </c>
      <c r="F23">
        <v>0</v>
      </c>
      <c r="G23" t="str">
        <v>Cash</v>
      </c>
      <c r="H23" t="str">
        <v>Tue Feb 24 2026</v>
      </c>
      <c r="I23" t="str">
        <v>Tue Mar 03 2026</v>
      </c>
    </row>
    <row r="24">
      <c r="A24">
        <v>2619</v>
      </c>
      <c r="B24" t="str">
        <v>Kailash Mathur</v>
      </c>
      <c r="C24" t="str">
        <v>Male</v>
      </c>
      <c r="D24">
        <v>110</v>
      </c>
      <c r="E24">
        <v>110</v>
      </c>
      <c r="F24">
        <v>0</v>
      </c>
      <c r="G24" t="str">
        <v>UPI</v>
      </c>
      <c r="H24" t="str">
        <v>Tue Mar 03 2026</v>
      </c>
      <c r="I24" t="str">
        <v>Tue Mar 03 2026</v>
      </c>
    </row>
    <row r="25">
      <c r="A25">
        <v>2451</v>
      </c>
      <c r="B25" t="str">
        <v xml:space="preserve">Prakash Joshi </v>
      </c>
      <c r="C25" t="str">
        <v>Male</v>
      </c>
      <c r="D25">
        <v>70</v>
      </c>
      <c r="E25">
        <v>70</v>
      </c>
      <c r="F25">
        <v>0</v>
      </c>
      <c r="G25" t="str">
        <v>Cash</v>
      </c>
      <c r="H25" t="str">
        <v>Mon Feb 09 2026</v>
      </c>
      <c r="I25" t="str">
        <v>Tue Mar 03 2026</v>
      </c>
    </row>
    <row r="26">
      <c r="A26">
        <v>2584</v>
      </c>
      <c r="B26" t="str">
        <v xml:space="preserve">Lokesh Raghuvanshi </v>
      </c>
      <c r="C26" t="str">
        <v>Male</v>
      </c>
      <c r="D26">
        <v>70</v>
      </c>
      <c r="E26">
        <v>70</v>
      </c>
      <c r="F26">
        <v>0</v>
      </c>
      <c r="G26" t="str">
        <v>UPI</v>
      </c>
      <c r="H26" t="str">
        <v>Thu Feb 26 2026</v>
      </c>
      <c r="I26" t="str">
        <v>Tue Mar 03 2026</v>
      </c>
    </row>
    <row r="27">
      <c r="A27">
        <v>2544</v>
      </c>
      <c r="B27" t="str">
        <v>Nitin singh</v>
      </c>
      <c r="C27" t="str">
        <v>Male</v>
      </c>
      <c r="D27">
        <v>50</v>
      </c>
      <c r="E27">
        <v>50</v>
      </c>
      <c r="F27">
        <v>0</v>
      </c>
      <c r="G27" t="str">
        <v>Cash</v>
      </c>
      <c r="H27" t="str">
        <v>Mon Feb 23 2026</v>
      </c>
      <c r="I27" t="str">
        <v>Tue Mar 03 2026</v>
      </c>
    </row>
    <row r="28">
      <c r="A28">
        <v>2486</v>
      </c>
      <c r="B28" t="str">
        <v xml:space="preserve">Uma Shukla </v>
      </c>
      <c r="C28" t="str">
        <v>Female</v>
      </c>
      <c r="D28">
        <v>70</v>
      </c>
      <c r="E28">
        <v>70</v>
      </c>
      <c r="F28">
        <v>0</v>
      </c>
      <c r="G28" t="str">
        <v>Cash</v>
      </c>
      <c r="H28" t="str">
        <v>Thu Feb 12 2026</v>
      </c>
      <c r="I28" t="str">
        <v>Tue Mar 03 2026</v>
      </c>
    </row>
    <row r="29">
      <c r="A29">
        <v>2568</v>
      </c>
      <c r="B29" t="str">
        <v>Shakti Sen</v>
      </c>
      <c r="C29" t="str">
        <v>Male</v>
      </c>
      <c r="D29">
        <v>50</v>
      </c>
      <c r="E29">
        <v>50</v>
      </c>
      <c r="F29">
        <v>0</v>
      </c>
      <c r="G29" t="str">
        <v>UPI</v>
      </c>
      <c r="H29" t="str">
        <v>Tue Feb 24 2026</v>
      </c>
      <c r="I29" t="str">
        <v>Tue Mar 03 2026</v>
      </c>
    </row>
    <row r="30">
      <c r="A30">
        <v>2574</v>
      </c>
      <c r="B30" t="str">
        <v xml:space="preserve">Kshama Lovanshi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Wed Feb 25 2026</v>
      </c>
      <c r="I30" t="str">
        <v>Tue Mar 03 2026</v>
      </c>
    </row>
    <row r="31">
      <c r="A31">
        <v>2611</v>
      </c>
      <c r="B31" t="str">
        <v>Maya Shipankar</v>
      </c>
      <c r="C31" t="str">
        <v>Female</v>
      </c>
      <c r="D31">
        <v>50</v>
      </c>
      <c r="E31">
        <v>50</v>
      </c>
      <c r="F31">
        <v>0</v>
      </c>
      <c r="G31" t="str">
        <v>Cash</v>
      </c>
      <c r="H31" t="str">
        <v>Mon Mar 02 2026</v>
      </c>
      <c r="I31" t="str">
        <v>Tue Mar 03 2026</v>
      </c>
    </row>
    <row r="32">
      <c r="A32">
        <v>2618</v>
      </c>
      <c r="B32" t="str">
        <v xml:space="preserve">Pramod Paliwal </v>
      </c>
      <c r="C32" t="str">
        <v>Male</v>
      </c>
      <c r="D32">
        <v>50</v>
      </c>
      <c r="E32">
        <v>50</v>
      </c>
      <c r="F32">
        <v>0</v>
      </c>
      <c r="G32" t="str">
        <v>Cash</v>
      </c>
      <c r="H32" t="str">
        <v>Mon Mar 02 2026</v>
      </c>
      <c r="I32" t="str">
        <v>Tue Mar 03 2026</v>
      </c>
    </row>
    <row r="33">
      <c r="A33">
        <v>2614</v>
      </c>
      <c r="B33" t="str">
        <v xml:space="preserve">Sushma Morya </v>
      </c>
      <c r="C33" t="str">
        <v>Female</v>
      </c>
      <c r="D33">
        <v>50</v>
      </c>
      <c r="E33">
        <v>50</v>
      </c>
      <c r="F33">
        <v>0</v>
      </c>
      <c r="G33" t="str">
        <v>Cash</v>
      </c>
      <c r="H33" t="str">
        <v>Mon Mar 02 2026</v>
      </c>
      <c r="I33" t="str">
        <v>Tue Mar 03 2026</v>
      </c>
    </row>
    <row r="34">
      <c r="A34">
        <v>2382</v>
      </c>
      <c r="B34" t="str">
        <v xml:space="preserve">Vijay Rathore </v>
      </c>
      <c r="C34" t="str">
        <v>Male</v>
      </c>
      <c r="D34">
        <v>110</v>
      </c>
      <c r="E34">
        <v>110</v>
      </c>
      <c r="F34">
        <v>0</v>
      </c>
      <c r="G34" t="str">
        <v>UPI</v>
      </c>
      <c r="H34" t="str">
        <v>Mon Feb 02 2026</v>
      </c>
      <c r="I34" t="str">
        <v>Tue Mar 03 2026</v>
      </c>
    </row>
    <row r="35">
      <c r="A35">
        <v>2580</v>
      </c>
      <c r="B35" t="str">
        <v xml:space="preserve">Vilas Bhangale </v>
      </c>
      <c r="C35" t="str">
        <v>Male</v>
      </c>
      <c r="D35">
        <v>50</v>
      </c>
      <c r="E35">
        <v>50</v>
      </c>
      <c r="F35">
        <v>0</v>
      </c>
      <c r="G35" t="str">
        <v>Cash</v>
      </c>
      <c r="H35" t="str">
        <v>Wed Feb 25 2026</v>
      </c>
      <c r="I35" t="str">
        <v>Tue Mar 03 2026</v>
      </c>
    </row>
    <row r="36">
      <c r="A36">
        <v>2579</v>
      </c>
      <c r="B36" t="str">
        <v>Sushma Bhangale</v>
      </c>
      <c r="C36" t="str">
        <v>Female</v>
      </c>
      <c r="D36">
        <v>50</v>
      </c>
      <c r="E36">
        <v>50</v>
      </c>
      <c r="F36">
        <v>0</v>
      </c>
      <c r="G36" t="str">
        <v>Cash</v>
      </c>
      <c r="H36" t="str">
        <v>Wed Feb 25 2026</v>
      </c>
      <c r="I36" t="str">
        <v>Tue Mar 03 2026</v>
      </c>
    </row>
    <row r="37">
      <c r="A37">
        <v>2228</v>
      </c>
      <c r="B37" t="str">
        <v>Sudhakar Rao Pawar</v>
      </c>
      <c r="C37" t="str">
        <v>Male</v>
      </c>
      <c r="D37">
        <v>50</v>
      </c>
      <c r="E37">
        <v>50</v>
      </c>
      <c r="F37">
        <v>0</v>
      </c>
      <c r="G37" t="str">
        <v>Cash</v>
      </c>
      <c r="H37" t="str">
        <v>Tue Jan 13 2026</v>
      </c>
      <c r="I37" t="str">
        <v>Tue Mar 03 2026</v>
      </c>
    </row>
    <row r="38">
      <c r="A38">
        <v>2498</v>
      </c>
      <c r="B38" t="str">
        <v>Shanti Saad</v>
      </c>
      <c r="C38" t="str">
        <v>Female</v>
      </c>
      <c r="D38">
        <v>50</v>
      </c>
      <c r="E38">
        <v>50</v>
      </c>
      <c r="F38">
        <v>0</v>
      </c>
      <c r="G38" t="str">
        <v>UPI</v>
      </c>
      <c r="H38" t="str">
        <v>Sat Feb 14 2026</v>
      </c>
      <c r="I38" t="str">
        <v>Tue Mar 03 2026</v>
      </c>
    </row>
    <row r="39">
      <c r="A39">
        <v>2505</v>
      </c>
      <c r="B39" t="str">
        <v xml:space="preserve">Kailish Kalyani </v>
      </c>
      <c r="C39" t="str">
        <v>Male</v>
      </c>
      <c r="D39">
        <v>50</v>
      </c>
      <c r="E39">
        <v>50</v>
      </c>
      <c r="F39">
        <v>0</v>
      </c>
      <c r="G39" t="str">
        <v>UPI</v>
      </c>
      <c r="H39" t="str">
        <v>Mon Feb 16 2026</v>
      </c>
      <c r="I39" t="str">
        <v>Tue Mar 03 2026</v>
      </c>
    </row>
    <row r="40">
      <c r="A40">
        <v>2601</v>
      </c>
      <c r="B40" t="str">
        <v>Mira Lahori</v>
      </c>
      <c r="C40" t="str">
        <v>Female</v>
      </c>
      <c r="D40">
        <v>50</v>
      </c>
      <c r="E40">
        <v>50</v>
      </c>
      <c r="F40">
        <v>0</v>
      </c>
      <c r="G40" t="str">
        <v>Cash</v>
      </c>
      <c r="H40" t="str">
        <v>Sat Feb 28 2026</v>
      </c>
      <c r="I40" t="str">
        <v>Tue Mar 03 2026</v>
      </c>
    </row>
    <row r="41">
      <c r="A41">
        <v>2404</v>
      </c>
      <c r="B41" t="str">
        <v xml:space="preserve">Hiralal Gupta </v>
      </c>
      <c r="C41" t="str">
        <v>Male</v>
      </c>
      <c r="D41">
        <v>50</v>
      </c>
      <c r="E41">
        <v>50</v>
      </c>
      <c r="F41">
        <v>0</v>
      </c>
      <c r="G41" t="str">
        <v>UPI</v>
      </c>
      <c r="H41" t="str">
        <v>Wed Feb 04 2026</v>
      </c>
      <c r="I41" t="str">
        <v>Tue Mar 03 2026</v>
      </c>
    </row>
    <row r="42">
      <c r="A42">
        <v>2588</v>
      </c>
      <c r="B42" t="str">
        <v>Krishna varma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Thu Feb 26 2026</v>
      </c>
      <c r="I42" t="str">
        <v>Tue Mar 03 2026</v>
      </c>
    </row>
    <row r="43">
      <c r="A43">
        <v>2524</v>
      </c>
      <c r="B43" t="str">
        <v xml:space="preserve">Govind Gupta </v>
      </c>
      <c r="C43" t="str">
        <v>Male</v>
      </c>
      <c r="D43">
        <v>50</v>
      </c>
      <c r="E43">
        <v>50</v>
      </c>
      <c r="F43">
        <v>0</v>
      </c>
      <c r="G43" t="str">
        <v>Cash</v>
      </c>
      <c r="H43" t="str">
        <v>Wed Feb 18 2026</v>
      </c>
      <c r="I43" t="str">
        <v>Tue Mar 03 2026</v>
      </c>
    </row>
    <row r="44">
      <c r="A44">
        <v>2535</v>
      </c>
      <c r="B44" t="str">
        <v>Rukmani Mshra</v>
      </c>
      <c r="C44" t="str">
        <v>Female</v>
      </c>
      <c r="D44">
        <v>50</v>
      </c>
      <c r="E44">
        <v>50</v>
      </c>
      <c r="F44">
        <v>0</v>
      </c>
      <c r="G44" t="str">
        <v>Cash</v>
      </c>
      <c r="H44" t="str">
        <v>Sat Feb 21 2026</v>
      </c>
      <c r="I44" t="str">
        <v>Tue Mar 03 2026</v>
      </c>
    </row>
    <row r="45">
      <c r="A45">
        <v>2600</v>
      </c>
      <c r="B45" t="str">
        <v xml:space="preserve">Kiran Soni </v>
      </c>
      <c r="C45" t="str">
        <v>Female</v>
      </c>
      <c r="D45">
        <v>70</v>
      </c>
      <c r="E45">
        <v>70</v>
      </c>
      <c r="F45">
        <v>0</v>
      </c>
      <c r="G45" t="str">
        <v>UPI</v>
      </c>
      <c r="H45" t="str">
        <v>Sat Feb 28 2026</v>
      </c>
      <c r="I45" t="str">
        <v>Tue Mar 03 2026</v>
      </c>
    </row>
    <row r="46">
      <c r="A46">
        <v>2615</v>
      </c>
      <c r="B46" t="str">
        <v xml:space="preserve">Rupali yadav </v>
      </c>
      <c r="C46" t="str">
        <v>Female</v>
      </c>
      <c r="D46">
        <v>50</v>
      </c>
      <c r="E46">
        <v>50</v>
      </c>
      <c r="F46">
        <v>0</v>
      </c>
      <c r="G46" t="str">
        <v>Cash</v>
      </c>
      <c r="H46" t="str">
        <v>Mon Mar 02 2026</v>
      </c>
      <c r="I46" t="str">
        <v>Tue Mar 03 2026</v>
      </c>
    </row>
    <row r="47">
      <c r="A47">
        <v>2519</v>
      </c>
      <c r="B47" t="str">
        <v xml:space="preserve">Neela Gangwal </v>
      </c>
      <c r="C47" t="str">
        <v>Female</v>
      </c>
      <c r="D47">
        <v>70</v>
      </c>
      <c r="E47">
        <v>70</v>
      </c>
      <c r="F47">
        <v>0</v>
      </c>
      <c r="G47" t="str">
        <v>Cash</v>
      </c>
      <c r="H47" t="str">
        <v>Wed Feb 18 2026</v>
      </c>
      <c r="I47" t="str">
        <v>Tue Mar 03 2026</v>
      </c>
    </row>
    <row r="48">
      <c r="A48">
        <v>2617</v>
      </c>
      <c r="B48" t="str">
        <v xml:space="preserve">Kirti Jain </v>
      </c>
      <c r="C48" t="str">
        <v>Female</v>
      </c>
      <c r="D48">
        <v>70</v>
      </c>
      <c r="E48">
        <v>70</v>
      </c>
      <c r="F48">
        <v>0</v>
      </c>
      <c r="G48" t="str">
        <v>Cash</v>
      </c>
      <c r="H48" t="str">
        <v>Mon Mar 02 2026</v>
      </c>
      <c r="I48" t="str">
        <v>Tue Mar 03 2026</v>
      </c>
    </row>
    <row r="49">
      <c r="A49">
        <v>2590</v>
      </c>
      <c r="B49" t="str">
        <v>Kanchan Bai</v>
      </c>
      <c r="C49" t="str">
        <v>Female</v>
      </c>
      <c r="D49">
        <v>50</v>
      </c>
      <c r="E49">
        <v>50</v>
      </c>
      <c r="F49">
        <v>0</v>
      </c>
      <c r="G49" t="str">
        <v>Cash</v>
      </c>
      <c r="H49" t="str">
        <v>Thu Feb 26 2026</v>
      </c>
      <c r="I49" t="str">
        <v>Tue Mar 03 2026</v>
      </c>
    </row>
    <row r="50">
      <c r="A50">
        <v>2587</v>
      </c>
      <c r="B50" t="str">
        <v xml:space="preserve">Kamla Prajapat </v>
      </c>
      <c r="C50" t="str">
        <v>Female</v>
      </c>
      <c r="D50">
        <v>50</v>
      </c>
      <c r="E50">
        <v>50</v>
      </c>
      <c r="F50">
        <v>0</v>
      </c>
      <c r="G50" t="str">
        <v>Cash</v>
      </c>
      <c r="H50" t="str">
        <v>Thu Feb 26 2026</v>
      </c>
      <c r="I50" t="str">
        <v>Tue Mar 03 2026</v>
      </c>
    </row>
    <row r="51">
      <c r="A51">
        <v>2604</v>
      </c>
      <c r="B51" t="str">
        <v xml:space="preserve">Laxmi Bhanopia </v>
      </c>
      <c r="C51" t="str">
        <v>Female</v>
      </c>
      <c r="D51">
        <v>50</v>
      </c>
      <c r="E51">
        <v>50</v>
      </c>
      <c r="F51">
        <v>0</v>
      </c>
      <c r="G51" t="str">
        <v>Cash</v>
      </c>
      <c r="H51" t="str">
        <v>Sat Feb 28 2026</v>
      </c>
      <c r="I51" t="str">
        <v>Tue Mar 03 2026</v>
      </c>
    </row>
    <row r="52">
      <c r="A52">
        <v>2620</v>
      </c>
      <c r="B52" t="str">
        <v xml:space="preserve">Kiran Maheshwari </v>
      </c>
      <c r="C52" t="str">
        <v>Female</v>
      </c>
      <c r="D52">
        <v>110</v>
      </c>
      <c r="E52">
        <v>110</v>
      </c>
      <c r="F52">
        <v>0</v>
      </c>
      <c r="G52" t="str">
        <v>UPI</v>
      </c>
      <c r="H52" t="str">
        <v>Tue Mar 03 2026</v>
      </c>
      <c r="I52" t="str">
        <v>Tue Mar 03 2026</v>
      </c>
    </row>
    <row r="53">
      <c r="A53">
        <v>2621</v>
      </c>
      <c r="B53" t="str">
        <v xml:space="preserve">Priyanka Gupta </v>
      </c>
      <c r="C53" t="str">
        <v>Female</v>
      </c>
      <c r="D53">
        <v>110</v>
      </c>
      <c r="E53">
        <v>110</v>
      </c>
      <c r="F53">
        <v>0</v>
      </c>
      <c r="G53" t="str">
        <v>Cash</v>
      </c>
      <c r="H53" t="str">
        <v>Tue Mar 03 2026</v>
      </c>
      <c r="I53" t="str">
        <v>Tue Mar 03 2026</v>
      </c>
    </row>
    <row r="54">
      <c r="A54">
        <v>2622</v>
      </c>
      <c r="B54" t="str">
        <v>Ravi Sohare</v>
      </c>
      <c r="C54" t="str">
        <v>Male</v>
      </c>
      <c r="D54">
        <v>110</v>
      </c>
      <c r="E54">
        <v>110</v>
      </c>
      <c r="F54">
        <v>0</v>
      </c>
      <c r="G54" t="str">
        <v>Cash</v>
      </c>
      <c r="H54" t="str">
        <v>Tue Mar 03 2026</v>
      </c>
      <c r="I54" t="str">
        <v>Tue Mar 03 2026</v>
      </c>
    </row>
    <row r="55">
      <c r="A55">
        <v>2161</v>
      </c>
      <c r="B55" t="str">
        <v xml:space="preserve">Pooja Rathor </v>
      </c>
      <c r="C55" t="str">
        <v>Female</v>
      </c>
      <c r="D55">
        <v>50</v>
      </c>
      <c r="E55">
        <v>0</v>
      </c>
      <c r="F55">
        <v>50</v>
      </c>
      <c r="G55" t="str">
        <v>Cash</v>
      </c>
      <c r="H55" t="str">
        <v>Thu Jan 01 2026</v>
      </c>
      <c r="I55" t="str">
        <v>Tue Mar 03 2026</v>
      </c>
    </row>
  </sheetData>
  <ignoredErrors>
    <ignoredError numberStoredAsText="1" sqref="A1:N5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N73"/>
  <sheetViews>
    <sheetView workbookViewId="0" rightToLeft="0"/>
  </sheetViews>
  <sheetData>
    <row r="1">
      <c r="A1" t="str">
        <v>Report Type</v>
      </c>
      <c r="B1" t="str">
        <v>Daily</v>
      </c>
    </row>
    <row r="2">
      <c r="A2" t="str">
        <v>Ramakrishna Mission, Indore</v>
      </c>
      <c r="B2" t="str">
        <v/>
      </c>
    </row>
    <row r="3">
      <c r="A3" t="str">
        <v>Physiotherapy Center's Daily Report</v>
      </c>
    </row>
    <row r="4">
      <c r="A4" t="str">
        <v>Patients on Date</v>
      </c>
      <c r="B4" t="str">
        <v>Mon Mar 02 2026</v>
      </c>
    </row>
    <row r="6">
      <c r="A6" t="str">
        <v>Total Charges</v>
      </c>
      <c r="B6" t="str">
        <v>Total Paid</v>
      </c>
      <c r="C6" t="str">
        <v>Total Cash</v>
      </c>
      <c r="D6" t="str">
        <v>Total UPI</v>
      </c>
      <c r="E6" t="str">
        <v>Total Transactions</v>
      </c>
      <c r="F6" t="str">
        <v>Cash Transactions</v>
      </c>
      <c r="G6" t="str">
        <v>UPI Transactions</v>
      </c>
      <c r="H6" t="str">
        <v>Total Discounts</v>
      </c>
      <c r="I6" t="str">
        <v>Free Transactions</v>
      </c>
      <c r="J6" t="str">
        <v>Male</v>
      </c>
      <c r="K6" t="str">
        <v>Female</v>
      </c>
      <c r="L6" t="str">
        <v>New Patients</v>
      </c>
      <c r="M6" t="str">
        <v>Existing Patients</v>
      </c>
      <c r="N6" t="str">
        <v>Total Patients</v>
      </c>
    </row>
    <row r="7">
      <c r="A7" t="e">
        <f t="array" ref="A7">SUM(D10:D73)</f>
      </c>
      <c r="B7" t="e">
        <f t="array" ref="B7">SUM(E10:E73)</f>
      </c>
      <c r="C7" t="e">
        <f t="array" ref="C7">SUMIF(G10:G73, "Cash", E10:E73)</f>
      </c>
      <c r="D7" t="e">
        <f t="array" ref="D7">SUMIF(G10:G73, "UPI", E10:E73)</f>
      </c>
      <c r="E7" t="e">
        <f t="array" ref="E7">COUNTA(G10:G73)</f>
      </c>
      <c r="F7" t="e">
        <f t="array" ref="F7">COUNTIF(G10:G73, "Cash")</f>
      </c>
      <c r="G7" t="e">
        <f t="array" ref="G7">COUNTIF(G10:G73, "UPI")</f>
      </c>
      <c r="H7" t="e">
        <f t="array" ref="H7">SUM(F10:F73)</f>
      </c>
      <c r="I7" t="e">
        <f t="array" ref="I7">COUNT(FILTER(F10:F73, F10:F73=D10:D73))</f>
      </c>
      <c r="J7" t="e">
        <f t="array" ref="J7">IFERROR(ROWS(UNIQUE(FILTER(A10:A73,C10:C73="Male"))),0)</f>
      </c>
      <c r="K7" t="e">
        <f t="array" ref="K7">IFERROR(ROWS(UNIQUE(FILTER(A10:A73,C10:C73="Female"))),0)</f>
      </c>
      <c r="L7" t="e">
        <f t="array" ref="L7">IFERROR(ROWS(UNIQUE(FILTER(A10:A73,H10:H73=I10))),0)</f>
      </c>
      <c r="M7" t="e">
        <f t="array" ref="M7">IFERROR(ROWS(UNIQUE(FILTER(A10:A73,H10:H73&lt;&gt;I10))),0)</f>
      </c>
      <c r="N7" t="e">
        <f t="array" ref="N7">IFERROR(ROWS(UNIQUE(A10:A73)),0)</f>
      </c>
    </row>
    <row r="9">
      <c r="A9" t="str">
        <v>Card Number</v>
      </c>
      <c r="B9" t="str">
        <v>Display Name</v>
      </c>
      <c r="C9" t="str">
        <v>Sex</v>
      </c>
      <c r="D9" t="str">
        <v>Charges</v>
      </c>
      <c r="E9" t="str">
        <v>Paid</v>
      </c>
      <c r="F9" t="str">
        <v>Discount</v>
      </c>
      <c r="G9" t="str">
        <v>Mode</v>
      </c>
      <c r="H9" t="str">
        <v>Registered On</v>
      </c>
      <c r="I9" t="str">
        <v>Date</v>
      </c>
    </row>
    <row r="10">
      <c r="A10">
        <v>2542</v>
      </c>
      <c r="B10" t="str">
        <v xml:space="preserve">Savita Singh </v>
      </c>
      <c r="C10" t="str">
        <v>Female</v>
      </c>
      <c r="D10">
        <v>50</v>
      </c>
      <c r="E10">
        <v>50</v>
      </c>
      <c r="F10">
        <v>0</v>
      </c>
      <c r="G10" t="str">
        <v>Cash</v>
      </c>
      <c r="H10" t="str">
        <v>Mon Feb 23 2026</v>
      </c>
      <c r="I10" t="str">
        <v>Mon Mar 02 2026</v>
      </c>
    </row>
    <row r="11">
      <c r="A11">
        <v>2418</v>
      </c>
      <c r="B11" t="str">
        <v xml:space="preserve">Gayatri Sharma </v>
      </c>
      <c r="C11" t="str">
        <v>Female</v>
      </c>
      <c r="D11">
        <v>50</v>
      </c>
      <c r="E11">
        <v>50</v>
      </c>
      <c r="F11">
        <v>0</v>
      </c>
      <c r="G11" t="str">
        <v>Cash</v>
      </c>
      <c r="H11" t="str">
        <v>Thu Feb 05 2026</v>
      </c>
      <c r="I11" t="str">
        <v>Mon Mar 02 2026</v>
      </c>
    </row>
    <row r="12">
      <c r="A12">
        <v>2573</v>
      </c>
      <c r="B12" t="str">
        <v xml:space="preserve">Manbir Singh </v>
      </c>
      <c r="C12" t="str">
        <v>Male</v>
      </c>
      <c r="D12">
        <v>50</v>
      </c>
      <c r="E12">
        <v>50</v>
      </c>
      <c r="F12">
        <v>0</v>
      </c>
      <c r="G12" t="str">
        <v>UPI</v>
      </c>
      <c r="H12" t="str">
        <v>Wed Feb 25 2026</v>
      </c>
      <c r="I12" t="str">
        <v>Mon Mar 02 2026</v>
      </c>
    </row>
    <row r="13">
      <c r="A13">
        <v>2499</v>
      </c>
      <c r="B13" t="str">
        <v xml:space="preserve">Ramesh Chandra </v>
      </c>
      <c r="C13" t="str">
        <v>Male</v>
      </c>
      <c r="D13">
        <v>50</v>
      </c>
      <c r="E13">
        <v>50</v>
      </c>
      <c r="F13">
        <v>0</v>
      </c>
      <c r="G13" t="str">
        <v>Cash</v>
      </c>
      <c r="H13" t="str">
        <v>Sat Feb 14 2026</v>
      </c>
      <c r="I13" t="str">
        <v>Mon Mar 02 2026</v>
      </c>
    </row>
    <row r="14">
      <c r="A14">
        <v>2413</v>
      </c>
      <c r="B14" t="str">
        <v xml:space="preserve">Kailash Agrawal </v>
      </c>
      <c r="C14" t="str">
        <v>Male</v>
      </c>
      <c r="D14">
        <v>70</v>
      </c>
      <c r="E14">
        <v>70</v>
      </c>
      <c r="F14">
        <v>0</v>
      </c>
      <c r="G14" t="str">
        <v>Cash</v>
      </c>
      <c r="H14" t="str">
        <v>Thu Feb 05 2026</v>
      </c>
      <c r="I14" t="str">
        <v>Mon Mar 02 2026</v>
      </c>
    </row>
    <row r="15">
      <c r="A15">
        <v>2412</v>
      </c>
      <c r="B15" t="str">
        <v xml:space="preserve">Kamini Agrawal </v>
      </c>
      <c r="C15" t="str">
        <v>Female</v>
      </c>
      <c r="D15">
        <v>50</v>
      </c>
      <c r="E15">
        <v>50</v>
      </c>
      <c r="F15">
        <v>0</v>
      </c>
      <c r="G15" t="str">
        <v>Cash</v>
      </c>
      <c r="H15" t="str">
        <v>Thu Feb 05 2026</v>
      </c>
      <c r="I15" t="str">
        <v>Mon Mar 02 2026</v>
      </c>
    </row>
    <row r="16">
      <c r="A16">
        <v>2403</v>
      </c>
      <c r="B16" t="str">
        <v>Pradip Maji</v>
      </c>
      <c r="C16" t="str">
        <v>Male</v>
      </c>
      <c r="D16">
        <v>50</v>
      </c>
      <c r="E16">
        <v>50</v>
      </c>
      <c r="F16">
        <v>0</v>
      </c>
      <c r="G16" t="str">
        <v>Cash</v>
      </c>
      <c r="H16" t="str">
        <v>Wed Feb 04 2026</v>
      </c>
      <c r="I16" t="str">
        <v>Mon Mar 02 2026</v>
      </c>
    </row>
    <row r="17">
      <c r="A17">
        <v>1645</v>
      </c>
      <c r="B17" t="str">
        <v>Jaiprakash Mishra</v>
      </c>
      <c r="C17" t="str">
        <v>Male</v>
      </c>
      <c r="D17">
        <v>110</v>
      </c>
      <c r="E17">
        <v>110</v>
      </c>
      <c r="F17">
        <v>0</v>
      </c>
      <c r="G17" t="str">
        <v>Cash</v>
      </c>
      <c r="H17" t="str">
        <v>Mon Oct 27 2025</v>
      </c>
      <c r="I17" t="str">
        <v>Mon Mar 02 2026</v>
      </c>
    </row>
    <row r="18">
      <c r="A18">
        <v>2451</v>
      </c>
      <c r="B18" t="str">
        <v xml:space="preserve">Prakash Joshi </v>
      </c>
      <c r="C18" t="str">
        <v>Male</v>
      </c>
      <c r="D18">
        <v>70</v>
      </c>
      <c r="E18">
        <v>70</v>
      </c>
      <c r="F18">
        <v>0</v>
      </c>
      <c r="G18" t="str">
        <v>Cash</v>
      </c>
      <c r="H18" t="str">
        <v>Mon Feb 09 2026</v>
      </c>
      <c r="I18" t="str">
        <v>Mon Mar 02 2026</v>
      </c>
    </row>
    <row r="19">
      <c r="A19">
        <v>2598</v>
      </c>
      <c r="B19" t="str">
        <v xml:space="preserve">Laxmi piplodiya </v>
      </c>
      <c r="C19" t="str">
        <v>Female</v>
      </c>
      <c r="D19">
        <v>50</v>
      </c>
      <c r="E19">
        <v>50</v>
      </c>
      <c r="F19">
        <v>0</v>
      </c>
      <c r="G19" t="str">
        <v>Cash</v>
      </c>
      <c r="H19" t="str">
        <v>Fri Feb 27 2026</v>
      </c>
      <c r="I19" t="str">
        <v>Mon Mar 02 2026</v>
      </c>
    </row>
    <row r="20">
      <c r="A20">
        <v>2397</v>
      </c>
      <c r="B20" t="str">
        <v>Samir Borkhade</v>
      </c>
      <c r="C20" t="str">
        <v>Male</v>
      </c>
      <c r="D20">
        <v>50</v>
      </c>
      <c r="E20">
        <v>50</v>
      </c>
      <c r="F20">
        <v>0</v>
      </c>
      <c r="G20" t="str">
        <v>Cash</v>
      </c>
      <c r="H20" t="str">
        <v>Tue Feb 03 2026</v>
      </c>
      <c r="I20" t="str">
        <v>Mon Mar 02 2026</v>
      </c>
    </row>
    <row r="21">
      <c r="A21">
        <v>2500</v>
      </c>
      <c r="B21" t="str">
        <v xml:space="preserve">Sanjay Agarwal </v>
      </c>
      <c r="C21" t="str">
        <v>Male</v>
      </c>
      <c r="D21">
        <v>50</v>
      </c>
      <c r="E21">
        <v>50</v>
      </c>
      <c r="F21">
        <v>0</v>
      </c>
      <c r="G21" t="str">
        <v>Cash</v>
      </c>
      <c r="H21" t="str">
        <v>Sat Feb 14 2026</v>
      </c>
      <c r="I21" t="str">
        <v>Mon Mar 02 2026</v>
      </c>
    </row>
    <row r="22">
      <c r="A22">
        <v>2493</v>
      </c>
      <c r="B22" t="str">
        <v xml:space="preserve">Shivkaran Singh </v>
      </c>
      <c r="C22" t="str">
        <v>Male</v>
      </c>
      <c r="D22">
        <v>70</v>
      </c>
      <c r="E22">
        <v>70</v>
      </c>
      <c r="F22">
        <v>0</v>
      </c>
      <c r="G22" t="str">
        <v>UPI</v>
      </c>
      <c r="H22" t="str">
        <v>Sat Feb 14 2026</v>
      </c>
      <c r="I22" t="str">
        <v>Mon Mar 02 2026</v>
      </c>
    </row>
    <row r="23">
      <c r="A23">
        <v>2593</v>
      </c>
      <c r="B23" t="str">
        <v xml:space="preserve">Anand Sharma </v>
      </c>
      <c r="C23" t="str">
        <v>Male</v>
      </c>
      <c r="D23">
        <v>70</v>
      </c>
      <c r="E23">
        <v>70</v>
      </c>
      <c r="F23">
        <v>0</v>
      </c>
      <c r="G23" t="str">
        <v>Cash</v>
      </c>
      <c r="H23" t="str">
        <v>Fri Feb 27 2026</v>
      </c>
      <c r="I23" t="str">
        <v>Mon Mar 02 2026</v>
      </c>
    </row>
    <row r="24">
      <c r="A24">
        <v>2605</v>
      </c>
      <c r="B24" t="str">
        <v>Kamlesh Belpatre</v>
      </c>
      <c r="C24" t="str">
        <v>Male</v>
      </c>
      <c r="D24">
        <v>50</v>
      </c>
      <c r="E24">
        <v>50</v>
      </c>
      <c r="F24">
        <v>0</v>
      </c>
      <c r="G24" t="str">
        <v>Cash</v>
      </c>
      <c r="H24" t="str">
        <v>Sat Feb 28 2026</v>
      </c>
      <c r="I24" t="str">
        <v>Mon Mar 02 2026</v>
      </c>
    </row>
    <row r="25">
      <c r="A25">
        <v>1917</v>
      </c>
      <c r="B25" t="str">
        <v xml:space="preserve">Ramesh Sharma </v>
      </c>
      <c r="C25" t="str">
        <v>Male</v>
      </c>
      <c r="D25">
        <v>110</v>
      </c>
      <c r="E25">
        <v>110</v>
      </c>
      <c r="F25">
        <v>0</v>
      </c>
      <c r="G25" t="str">
        <v>Cash</v>
      </c>
      <c r="H25" t="str">
        <v>Mon Dec 01 2025</v>
      </c>
      <c r="I25" t="str">
        <v>Mon Mar 02 2026</v>
      </c>
    </row>
    <row r="26">
      <c r="A26">
        <v>2610</v>
      </c>
      <c r="B26" t="str">
        <v xml:space="preserve">Sanjivani Solanki </v>
      </c>
      <c r="C26" t="str">
        <v>Female</v>
      </c>
      <c r="D26">
        <v>110</v>
      </c>
      <c r="E26">
        <v>110</v>
      </c>
      <c r="F26">
        <v>0</v>
      </c>
      <c r="G26" t="str">
        <v>Cash</v>
      </c>
      <c r="H26" t="str">
        <v>Mon Mar 02 2026</v>
      </c>
      <c r="I26" t="str">
        <v>Mon Mar 02 2026</v>
      </c>
    </row>
    <row r="27">
      <c r="A27">
        <v>2611</v>
      </c>
      <c r="B27" t="str">
        <v>Maya Shipankar</v>
      </c>
      <c r="C27" t="str">
        <v>Female</v>
      </c>
      <c r="D27">
        <v>110</v>
      </c>
      <c r="E27">
        <v>110</v>
      </c>
      <c r="F27">
        <v>0</v>
      </c>
      <c r="G27" t="str">
        <v>UPI</v>
      </c>
      <c r="H27" t="str">
        <v>Mon Mar 02 2026</v>
      </c>
      <c r="I27" t="str">
        <v>Mon Mar 02 2026</v>
      </c>
    </row>
    <row r="28">
      <c r="A28">
        <v>2612</v>
      </c>
      <c r="B28" t="str">
        <v xml:space="preserve">Minakshi Yadav </v>
      </c>
      <c r="C28" t="str">
        <v>Female</v>
      </c>
      <c r="D28">
        <v>100</v>
      </c>
      <c r="E28">
        <v>100</v>
      </c>
      <c r="F28">
        <v>0</v>
      </c>
      <c r="G28" t="str">
        <v>Cash</v>
      </c>
      <c r="H28" t="str">
        <v>Mon Mar 02 2026</v>
      </c>
      <c r="I28" t="str">
        <v>Mon Mar 02 2026</v>
      </c>
    </row>
    <row r="29">
      <c r="A29">
        <v>2414</v>
      </c>
      <c r="B29" t="str">
        <v xml:space="preserve">Vandana Khandelwal </v>
      </c>
      <c r="C29" t="str">
        <v>Female</v>
      </c>
      <c r="D29">
        <v>50</v>
      </c>
      <c r="E29">
        <v>50</v>
      </c>
      <c r="F29">
        <v>0</v>
      </c>
      <c r="G29" t="str">
        <v>UPI</v>
      </c>
      <c r="H29" t="str">
        <v>Thu Feb 05 2026</v>
      </c>
      <c r="I29" t="str">
        <v>Mon Mar 02 2026</v>
      </c>
    </row>
    <row r="30">
      <c r="A30">
        <v>2574</v>
      </c>
      <c r="B30" t="str">
        <v xml:space="preserve">Kshama Lovanshi </v>
      </c>
      <c r="C30" t="str">
        <v>Female</v>
      </c>
      <c r="D30">
        <v>50</v>
      </c>
      <c r="E30">
        <v>50</v>
      </c>
      <c r="F30">
        <v>0</v>
      </c>
      <c r="G30" t="str">
        <v>Cash</v>
      </c>
      <c r="H30" t="str">
        <v>Wed Feb 25 2026</v>
      </c>
      <c r="I30" t="str">
        <v>Mon Mar 02 2026</v>
      </c>
    </row>
    <row r="31">
      <c r="A31">
        <v>2565</v>
      </c>
      <c r="B31" t="str">
        <v xml:space="preserve">Sadhana Pateriya </v>
      </c>
      <c r="C31" t="str">
        <v>Female</v>
      </c>
      <c r="D31">
        <v>70</v>
      </c>
      <c r="E31">
        <v>70</v>
      </c>
      <c r="F31">
        <v>0</v>
      </c>
      <c r="G31" t="str">
        <v>Cash</v>
      </c>
      <c r="H31" t="str">
        <v>Tue Feb 24 2026</v>
      </c>
      <c r="I31" t="str">
        <v>Mon Mar 02 2026</v>
      </c>
    </row>
    <row r="32">
      <c r="A32">
        <v>2613</v>
      </c>
      <c r="B32" t="str">
        <v xml:space="preserve">Rohit Bansal </v>
      </c>
      <c r="C32" t="str">
        <v>Male</v>
      </c>
      <c r="D32">
        <v>110</v>
      </c>
      <c r="E32">
        <v>110</v>
      </c>
      <c r="F32">
        <v>0</v>
      </c>
      <c r="G32" t="str">
        <v>UPI</v>
      </c>
      <c r="H32" t="str">
        <v>Mon Mar 02 2026</v>
      </c>
      <c r="I32" t="str">
        <v>Mon Mar 02 2026</v>
      </c>
    </row>
    <row r="33">
      <c r="A33">
        <v>2588</v>
      </c>
      <c r="B33" t="str">
        <v>Krishna varma</v>
      </c>
      <c r="C33" t="str">
        <v>Female</v>
      </c>
      <c r="D33">
        <v>50</v>
      </c>
      <c r="E33">
        <v>50</v>
      </c>
      <c r="F33">
        <v>0</v>
      </c>
      <c r="G33" t="str">
        <v>Cash</v>
      </c>
      <c r="H33" t="str">
        <v>Thu Feb 26 2026</v>
      </c>
      <c r="I33" t="str">
        <v>Mon Mar 02 2026</v>
      </c>
    </row>
    <row r="34">
      <c r="A34">
        <v>996</v>
      </c>
      <c r="B34" t="str">
        <v>Sarita Rathor</v>
      </c>
      <c r="C34" t="str">
        <v>Female</v>
      </c>
      <c r="D34">
        <v>50</v>
      </c>
      <c r="E34">
        <v>0</v>
      </c>
      <c r="F34">
        <v>50</v>
      </c>
      <c r="G34" t="str">
        <v>Cash</v>
      </c>
      <c r="H34" t="str">
        <v>Sat Jul 19 2025</v>
      </c>
      <c r="I34" t="str">
        <v>Mon Mar 02 2026</v>
      </c>
    </row>
    <row r="35">
      <c r="A35">
        <v>1437</v>
      </c>
      <c r="B35" t="str">
        <v>Suraj Dharve</v>
      </c>
      <c r="C35" t="str">
        <v>Female</v>
      </c>
      <c r="D35">
        <v>50</v>
      </c>
      <c r="E35">
        <v>0</v>
      </c>
      <c r="F35">
        <v>50</v>
      </c>
      <c r="G35" t="str">
        <v>Cash</v>
      </c>
      <c r="H35" t="str">
        <v>Fri Sep 19 2025</v>
      </c>
      <c r="I35" t="str">
        <v>Mon Mar 02 2026</v>
      </c>
    </row>
    <row r="36">
      <c r="A36">
        <v>2569</v>
      </c>
      <c r="B36" t="str">
        <v>Suresh Malvi</v>
      </c>
      <c r="C36" t="str">
        <v>Male</v>
      </c>
      <c r="D36">
        <v>70</v>
      </c>
      <c r="E36">
        <v>70</v>
      </c>
      <c r="F36">
        <v>0</v>
      </c>
      <c r="G36" t="str">
        <v>Cash</v>
      </c>
      <c r="H36" t="str">
        <v>Tue Feb 24 2026</v>
      </c>
      <c r="I36" t="str">
        <v>Mon Mar 02 2026</v>
      </c>
    </row>
    <row r="37">
      <c r="A37">
        <v>2544</v>
      </c>
      <c r="B37" t="str">
        <v>Nitin singh</v>
      </c>
      <c r="C37" t="str">
        <v>Male</v>
      </c>
      <c r="D37">
        <v>50</v>
      </c>
      <c r="E37">
        <v>50</v>
      </c>
      <c r="F37">
        <v>0</v>
      </c>
      <c r="G37" t="str">
        <v>Cash</v>
      </c>
      <c r="H37" t="str">
        <v>Mon Feb 23 2026</v>
      </c>
      <c r="I37" t="str">
        <v>Mon Mar 02 2026</v>
      </c>
    </row>
    <row r="38">
      <c r="A38">
        <v>2614</v>
      </c>
      <c r="B38" t="str">
        <v xml:space="preserve">Sushma Morya </v>
      </c>
      <c r="C38" t="str">
        <v>Female</v>
      </c>
      <c r="D38">
        <v>110</v>
      </c>
      <c r="E38">
        <v>110</v>
      </c>
      <c r="F38">
        <v>0</v>
      </c>
      <c r="G38" t="str">
        <v>Cash</v>
      </c>
      <c r="H38" t="str">
        <v>Mon Mar 02 2026</v>
      </c>
      <c r="I38" t="str">
        <v>Mon Mar 02 2026</v>
      </c>
    </row>
    <row r="39">
      <c r="A39">
        <v>2600</v>
      </c>
      <c r="B39" t="str">
        <v xml:space="preserve">Kiran Soni </v>
      </c>
      <c r="C39" t="str">
        <v>Female</v>
      </c>
      <c r="D39">
        <v>70</v>
      </c>
      <c r="E39">
        <v>70</v>
      </c>
      <c r="F39">
        <v>0</v>
      </c>
      <c r="G39" t="str">
        <v>UPI</v>
      </c>
      <c r="H39" t="str">
        <v>Sat Feb 28 2026</v>
      </c>
      <c r="I39" t="str">
        <v>Mon Mar 02 2026</v>
      </c>
    </row>
    <row r="40">
      <c r="A40">
        <v>2581</v>
      </c>
      <c r="B40" t="str">
        <v xml:space="preserve">Radheshyam Bhavsar </v>
      </c>
      <c r="C40" t="str">
        <v>Male</v>
      </c>
      <c r="D40">
        <v>50</v>
      </c>
      <c r="E40">
        <v>50</v>
      </c>
      <c r="F40">
        <v>0</v>
      </c>
      <c r="G40" t="str">
        <v>UPI</v>
      </c>
      <c r="H40" t="str">
        <v>Wed Feb 25 2026</v>
      </c>
      <c r="I40" t="str">
        <v>Mon Mar 02 2026</v>
      </c>
    </row>
    <row r="41">
      <c r="A41">
        <v>2608</v>
      </c>
      <c r="B41" t="str">
        <v xml:space="preserve">Rajkumar Solanki </v>
      </c>
      <c r="C41" t="str">
        <v>Male</v>
      </c>
      <c r="D41">
        <v>50</v>
      </c>
      <c r="E41">
        <v>50</v>
      </c>
      <c r="F41">
        <v>0</v>
      </c>
      <c r="G41" t="str">
        <v>Cash</v>
      </c>
      <c r="H41" t="str">
        <v>Sat Feb 28 2026</v>
      </c>
      <c r="I41" t="str">
        <v>Mon Mar 02 2026</v>
      </c>
    </row>
    <row r="42">
      <c r="A42">
        <v>2601</v>
      </c>
      <c r="B42" t="str">
        <v>Mira Lahori</v>
      </c>
      <c r="C42" t="str">
        <v>Female</v>
      </c>
      <c r="D42">
        <v>50</v>
      </c>
      <c r="E42">
        <v>50</v>
      </c>
      <c r="F42">
        <v>0</v>
      </c>
      <c r="G42" t="str">
        <v>Cash</v>
      </c>
      <c r="H42" t="str">
        <v>Sat Feb 28 2026</v>
      </c>
      <c r="I42" t="str">
        <v>Mon Mar 02 2026</v>
      </c>
    </row>
    <row r="43">
      <c r="A43">
        <v>2615</v>
      </c>
      <c r="B43" t="str">
        <v xml:space="preserve">Rupali yadav </v>
      </c>
      <c r="C43" t="str">
        <v>Female</v>
      </c>
      <c r="D43">
        <v>110</v>
      </c>
      <c r="E43">
        <v>110</v>
      </c>
      <c r="F43">
        <v>0</v>
      </c>
      <c r="G43" t="str">
        <v>Cash</v>
      </c>
      <c r="H43" t="str">
        <v>Mon Mar 02 2026</v>
      </c>
      <c r="I43" t="str">
        <v>Mon Mar 02 2026</v>
      </c>
    </row>
    <row r="44">
      <c r="A44">
        <v>2577</v>
      </c>
      <c r="B44" t="str">
        <v xml:space="preserve">Sunita Gupta </v>
      </c>
      <c r="C44" t="str">
        <v>Female</v>
      </c>
      <c r="D44">
        <v>50</v>
      </c>
      <c r="E44">
        <v>50</v>
      </c>
      <c r="F44">
        <v>0</v>
      </c>
      <c r="G44" t="str">
        <v>Cash</v>
      </c>
      <c r="H44" t="str">
        <v>Wed Feb 25 2026</v>
      </c>
      <c r="I44" t="str">
        <v>Mon Mar 02 2026</v>
      </c>
    </row>
    <row r="45">
      <c r="A45">
        <v>2584</v>
      </c>
      <c r="B45" t="str">
        <v xml:space="preserve">Lokesh Raghuvanshi </v>
      </c>
      <c r="C45" t="str">
        <v>Male</v>
      </c>
      <c r="D45">
        <v>50</v>
      </c>
      <c r="E45">
        <v>50</v>
      </c>
      <c r="F45">
        <v>0</v>
      </c>
      <c r="G45" t="str">
        <v>UPI</v>
      </c>
      <c r="H45" t="str">
        <v>Thu Feb 26 2026</v>
      </c>
      <c r="I45" t="str">
        <v>Mon Mar 02 2026</v>
      </c>
    </row>
    <row r="46">
      <c r="A46">
        <v>2568</v>
      </c>
      <c r="B46" t="str">
        <v>Shakti Sen</v>
      </c>
      <c r="C46" t="str">
        <v>Male</v>
      </c>
      <c r="D46">
        <v>50</v>
      </c>
      <c r="E46">
        <v>50</v>
      </c>
      <c r="F46">
        <v>0</v>
      </c>
      <c r="G46" t="str">
        <v>UPI</v>
      </c>
      <c r="H46" t="str">
        <v>Tue Feb 24 2026</v>
      </c>
      <c r="I46" t="str">
        <v>Mon Mar 02 2026</v>
      </c>
    </row>
    <row r="47">
      <c r="A47">
        <v>2604</v>
      </c>
      <c r="B47" t="str">
        <v xml:space="preserve">Laxmi Bhanopia </v>
      </c>
      <c r="C47" t="str">
        <v>Female</v>
      </c>
      <c r="D47">
        <v>50</v>
      </c>
      <c r="E47">
        <v>50</v>
      </c>
      <c r="F47">
        <v>0</v>
      </c>
      <c r="G47" t="str">
        <v>Cash</v>
      </c>
      <c r="H47" t="str">
        <v>Sat Feb 28 2026</v>
      </c>
      <c r="I47" t="str">
        <v>Mon Mar 02 2026</v>
      </c>
    </row>
    <row r="48">
      <c r="A48">
        <v>2580</v>
      </c>
      <c r="B48" t="str">
        <v xml:space="preserve">Vilas Bhangale </v>
      </c>
      <c r="C48" t="str">
        <v>Male</v>
      </c>
      <c r="D48">
        <v>50</v>
      </c>
      <c r="E48">
        <v>50</v>
      </c>
      <c r="F48">
        <v>0</v>
      </c>
      <c r="G48" t="str">
        <v>Cash</v>
      </c>
      <c r="H48" t="str">
        <v>Wed Feb 25 2026</v>
      </c>
      <c r="I48" t="str">
        <v>Mon Mar 02 2026</v>
      </c>
    </row>
    <row r="49">
      <c r="A49">
        <v>2579</v>
      </c>
      <c r="B49" t="str">
        <v>Sushma Bhangale</v>
      </c>
      <c r="C49" t="str">
        <v>Female</v>
      </c>
      <c r="D49">
        <v>50</v>
      </c>
      <c r="E49">
        <v>50</v>
      </c>
      <c r="F49">
        <v>0</v>
      </c>
      <c r="G49" t="str">
        <v>Cash</v>
      </c>
      <c r="H49" t="str">
        <v>Wed Feb 25 2026</v>
      </c>
      <c r="I49" t="str">
        <v>Mon Mar 02 2026</v>
      </c>
    </row>
    <row r="50">
      <c r="A50">
        <v>2404</v>
      </c>
      <c r="B50" t="str">
        <v xml:space="preserve">Hiralal Gupta </v>
      </c>
      <c r="C50" t="str">
        <v>Male</v>
      </c>
      <c r="D50">
        <v>50</v>
      </c>
      <c r="E50">
        <v>50</v>
      </c>
      <c r="F50">
        <v>0</v>
      </c>
      <c r="G50" t="str">
        <v>UPI</v>
      </c>
      <c r="H50" t="str">
        <v>Wed Feb 04 2026</v>
      </c>
      <c r="I50" t="str">
        <v>Mon Mar 02 2026</v>
      </c>
    </row>
    <row r="51">
      <c r="A51">
        <v>2228</v>
      </c>
      <c r="B51" t="str">
        <v>Sudhakar Rao Pawar</v>
      </c>
      <c r="C51" t="str">
        <v>Male</v>
      </c>
      <c r="D51">
        <v>50</v>
      </c>
      <c r="E51">
        <v>50</v>
      </c>
      <c r="F51">
        <v>0</v>
      </c>
      <c r="G51" t="str">
        <v>Cash</v>
      </c>
      <c r="H51" t="str">
        <v>Tue Jan 13 2026</v>
      </c>
      <c r="I51" t="str">
        <v>Mon Mar 02 2026</v>
      </c>
    </row>
    <row r="52">
      <c r="A52">
        <v>2609</v>
      </c>
      <c r="B52" t="str">
        <v>Sima Mule</v>
      </c>
      <c r="C52" t="str">
        <v>Female</v>
      </c>
      <c r="D52">
        <v>50</v>
      </c>
      <c r="E52">
        <v>50</v>
      </c>
      <c r="F52">
        <v>0</v>
      </c>
      <c r="G52" t="str">
        <v>Cash</v>
      </c>
      <c r="H52" t="str">
        <v>Sat Feb 28 2026</v>
      </c>
      <c r="I52" t="str">
        <v>Mon Mar 02 2026</v>
      </c>
    </row>
    <row r="53">
      <c r="A53">
        <v>2486</v>
      </c>
      <c r="B53" t="str">
        <v xml:space="preserve">Uma Shukla </v>
      </c>
      <c r="C53" t="str">
        <v>Female</v>
      </c>
      <c r="D53">
        <v>70</v>
      </c>
      <c r="E53">
        <v>70</v>
      </c>
      <c r="F53">
        <v>0</v>
      </c>
      <c r="G53" t="str">
        <v>Cash</v>
      </c>
      <c r="H53" t="str">
        <v>Thu Feb 12 2026</v>
      </c>
      <c r="I53" t="str">
        <v>Mon Mar 02 2026</v>
      </c>
    </row>
    <row r="54">
      <c r="A54">
        <v>2606</v>
      </c>
      <c r="B54" t="str">
        <v xml:space="preserve">Subhash Porwal </v>
      </c>
      <c r="C54" t="str">
        <v>Male</v>
      </c>
      <c r="D54">
        <v>50</v>
      </c>
      <c r="E54">
        <v>50</v>
      </c>
      <c r="F54">
        <v>0</v>
      </c>
      <c r="G54" t="str">
        <v>Cash</v>
      </c>
      <c r="H54" t="str">
        <v>Sat Feb 28 2026</v>
      </c>
      <c r="I54" t="str">
        <v>Mon Mar 02 2026</v>
      </c>
    </row>
    <row r="55">
      <c r="A55">
        <v>2498</v>
      </c>
      <c r="B55" t="str">
        <v>Shanti Saad</v>
      </c>
      <c r="C55" t="str">
        <v>Female</v>
      </c>
      <c r="D55">
        <v>50</v>
      </c>
      <c r="E55">
        <v>50</v>
      </c>
      <c r="F55">
        <v>0</v>
      </c>
      <c r="G55" t="str">
        <v>UPI</v>
      </c>
      <c r="H55" t="str">
        <v>Sat Feb 14 2026</v>
      </c>
      <c r="I55" t="str">
        <v>Mon Mar 02 2026</v>
      </c>
    </row>
    <row r="56">
      <c r="A56">
        <v>2524</v>
      </c>
      <c r="B56" t="str">
        <v xml:space="preserve">Govind Gupta </v>
      </c>
      <c r="C56" t="str">
        <v>Male</v>
      </c>
      <c r="D56">
        <v>50</v>
      </c>
      <c r="E56">
        <v>50</v>
      </c>
      <c r="F56">
        <v>0</v>
      </c>
      <c r="G56" t="str">
        <v>Cash</v>
      </c>
      <c r="H56" t="str">
        <v>Wed Feb 18 2026</v>
      </c>
      <c r="I56" t="str">
        <v>Mon Mar 02 2026</v>
      </c>
    </row>
    <row r="57">
      <c r="A57">
        <v>2494</v>
      </c>
      <c r="B57" t="str">
        <v xml:space="preserve">Bhagwat Singh </v>
      </c>
      <c r="C57" t="str">
        <v>Male</v>
      </c>
      <c r="D57">
        <v>50</v>
      </c>
      <c r="E57">
        <v>50</v>
      </c>
      <c r="F57">
        <v>0</v>
      </c>
      <c r="G57" t="str">
        <v>UPI</v>
      </c>
      <c r="H57" t="str">
        <v>Sat Feb 14 2026</v>
      </c>
      <c r="I57" t="str">
        <v>Mon Mar 02 2026</v>
      </c>
    </row>
    <row r="58">
      <c r="A58">
        <v>2616</v>
      </c>
      <c r="B58" t="str">
        <v xml:space="preserve">Vikas Gupta </v>
      </c>
      <c r="C58" t="str">
        <v>Male</v>
      </c>
      <c r="D58">
        <v>110</v>
      </c>
      <c r="E58">
        <v>110</v>
      </c>
      <c r="F58">
        <v>0</v>
      </c>
      <c r="G58" t="str">
        <v>Cash</v>
      </c>
      <c r="H58" t="str">
        <v>Mon Mar 02 2026</v>
      </c>
      <c r="I58" t="str">
        <v>Mon Mar 02 2026</v>
      </c>
    </row>
    <row r="59">
      <c r="A59">
        <v>2543</v>
      </c>
      <c r="B59" t="str">
        <v>Charan Singh</v>
      </c>
      <c r="C59" t="str">
        <v>Male</v>
      </c>
      <c r="D59">
        <v>50</v>
      </c>
      <c r="E59">
        <v>50</v>
      </c>
      <c r="F59">
        <v>0</v>
      </c>
      <c r="G59" t="str">
        <v>Cash</v>
      </c>
      <c r="H59" t="str">
        <v>Mon Feb 23 2026</v>
      </c>
      <c r="I59" t="str">
        <v>Mon Mar 02 2026</v>
      </c>
    </row>
    <row r="60">
      <c r="A60">
        <v>2587</v>
      </c>
      <c r="B60" t="str">
        <v xml:space="preserve">Kamla Prajapat </v>
      </c>
      <c r="C60" t="str">
        <v>Female</v>
      </c>
      <c r="D60">
        <v>50</v>
      </c>
      <c r="E60">
        <v>50</v>
      </c>
      <c r="F60">
        <v>0</v>
      </c>
      <c r="G60" t="str">
        <v>Cash</v>
      </c>
      <c r="H60" t="str">
        <v>Thu Feb 26 2026</v>
      </c>
      <c r="I60" t="str">
        <v>Mon Mar 02 2026</v>
      </c>
    </row>
    <row r="61">
      <c r="A61">
        <v>2382</v>
      </c>
      <c r="B61" t="str">
        <v xml:space="preserve">Vijay Rathore </v>
      </c>
      <c r="C61" t="str">
        <v>Male</v>
      </c>
      <c r="D61">
        <v>50</v>
      </c>
      <c r="E61">
        <v>50</v>
      </c>
      <c r="F61">
        <v>0</v>
      </c>
      <c r="G61" t="str">
        <v>UPI</v>
      </c>
      <c r="H61" t="str">
        <v>Mon Feb 02 2026</v>
      </c>
      <c r="I61" t="str">
        <v>Mon Mar 02 2026</v>
      </c>
    </row>
    <row r="62">
      <c r="A62">
        <v>2617</v>
      </c>
      <c r="B62" t="str">
        <v xml:space="preserve">Kirti Jain </v>
      </c>
      <c r="C62" t="str">
        <v>Female</v>
      </c>
      <c r="D62">
        <v>130</v>
      </c>
      <c r="E62">
        <v>130</v>
      </c>
      <c r="F62">
        <v>0</v>
      </c>
      <c r="G62" t="str">
        <v>Cash</v>
      </c>
      <c r="H62" t="str">
        <v>Mon Mar 02 2026</v>
      </c>
      <c r="I62" t="str">
        <v>Mon Mar 02 2026</v>
      </c>
    </row>
    <row r="63">
      <c r="A63">
        <v>2142</v>
      </c>
      <c r="B63" t="str">
        <v xml:space="preserve">Santosh Kapurpura </v>
      </c>
      <c r="C63" t="str">
        <v>Female</v>
      </c>
      <c r="D63">
        <v>50</v>
      </c>
      <c r="E63">
        <v>50</v>
      </c>
      <c r="F63">
        <v>0</v>
      </c>
      <c r="G63" t="str">
        <v>Cash</v>
      </c>
      <c r="H63" t="str">
        <v>Tue Dec 30 2025</v>
      </c>
      <c r="I63" t="str">
        <v>Mon Mar 02 2026</v>
      </c>
    </row>
    <row r="64">
      <c r="A64">
        <v>2395</v>
      </c>
      <c r="B64" t="str">
        <v>Femida Beg</v>
      </c>
      <c r="C64" t="str">
        <v>Female</v>
      </c>
      <c r="D64">
        <v>50</v>
      </c>
      <c r="E64">
        <v>50</v>
      </c>
      <c r="F64">
        <v>0</v>
      </c>
      <c r="G64" t="str">
        <v>Cash</v>
      </c>
      <c r="H64" t="str">
        <v>Tue Feb 03 2026</v>
      </c>
      <c r="I64" t="str">
        <v>Mon Mar 02 2026</v>
      </c>
    </row>
    <row r="65">
      <c r="A65">
        <v>2356</v>
      </c>
      <c r="B65" t="str">
        <v xml:space="preserve">Ishan Jayaswal </v>
      </c>
      <c r="C65" t="str">
        <v>Male</v>
      </c>
      <c r="D65">
        <v>110</v>
      </c>
      <c r="E65">
        <v>110</v>
      </c>
      <c r="F65">
        <v>0</v>
      </c>
      <c r="G65" t="str">
        <v>UPI</v>
      </c>
      <c r="H65" t="str">
        <v>Fri Jan 30 2026</v>
      </c>
      <c r="I65" t="str">
        <v>Mon Mar 02 2026</v>
      </c>
    </row>
    <row r="66">
      <c r="A66">
        <v>2590</v>
      </c>
      <c r="B66" t="str">
        <v>Kanchan Bai</v>
      </c>
      <c r="C66" t="str">
        <v>Female</v>
      </c>
      <c r="D66">
        <v>50</v>
      </c>
      <c r="E66">
        <v>50</v>
      </c>
      <c r="F66">
        <v>0</v>
      </c>
      <c r="G66" t="str">
        <v>Cash</v>
      </c>
      <c r="H66" t="str">
        <v>Thu Feb 26 2026</v>
      </c>
      <c r="I66" t="str">
        <v>Mon Mar 02 2026</v>
      </c>
    </row>
    <row r="67">
      <c r="A67">
        <v>2618</v>
      </c>
      <c r="B67" t="str">
        <v xml:space="preserve">Pramod Paliwal </v>
      </c>
      <c r="C67" t="str">
        <v>Male</v>
      </c>
      <c r="D67">
        <v>110</v>
      </c>
      <c r="E67">
        <v>110</v>
      </c>
      <c r="F67">
        <v>0</v>
      </c>
      <c r="G67" t="str">
        <v>Cash</v>
      </c>
      <c r="H67" t="str">
        <v>Mon Mar 02 2026</v>
      </c>
      <c r="I67" t="str">
        <v>Mon Mar 02 2026</v>
      </c>
    </row>
    <row r="68">
      <c r="A68">
        <v>2552</v>
      </c>
      <c r="B68" t="str">
        <v>Priti Verma</v>
      </c>
      <c r="C68" t="str">
        <v>Female</v>
      </c>
      <c r="D68">
        <v>50</v>
      </c>
      <c r="E68">
        <v>50</v>
      </c>
      <c r="F68">
        <v>0</v>
      </c>
      <c r="G68" t="str">
        <v>Cash</v>
      </c>
      <c r="H68" t="str">
        <v>Mon Feb 23 2026</v>
      </c>
      <c r="I68" t="str">
        <v>Mon Mar 02 2026</v>
      </c>
    </row>
    <row r="69">
      <c r="A69">
        <v>2431</v>
      </c>
      <c r="B69" t="str">
        <v xml:space="preserve">Muskan Parmar </v>
      </c>
      <c r="C69" t="str">
        <v>Female</v>
      </c>
      <c r="D69">
        <v>50</v>
      </c>
      <c r="E69">
        <v>50</v>
      </c>
      <c r="F69">
        <v>0</v>
      </c>
      <c r="G69" t="str">
        <v>Cash</v>
      </c>
      <c r="H69" t="str">
        <v>Fri Feb 06 2026</v>
      </c>
      <c r="I69" t="str">
        <v>Mon Mar 02 2026</v>
      </c>
    </row>
    <row r="70">
      <c r="A70">
        <v>2538</v>
      </c>
      <c r="B70" t="str">
        <v>Sunil Sasane</v>
      </c>
      <c r="C70" t="str">
        <v>Male</v>
      </c>
      <c r="D70">
        <v>50</v>
      </c>
      <c r="E70">
        <v>50</v>
      </c>
      <c r="F70">
        <v>0</v>
      </c>
      <c r="G70" t="str">
        <v>UPI</v>
      </c>
      <c r="H70" t="str">
        <v>Sat Feb 21 2026</v>
      </c>
      <c r="I70" t="str">
        <v>Mon Mar 02 2026</v>
      </c>
    </row>
    <row r="71">
      <c r="A71">
        <v>2533</v>
      </c>
      <c r="B71" t="str">
        <v xml:space="preserve">Rekha Jain </v>
      </c>
      <c r="C71" t="str">
        <v>Female</v>
      </c>
      <c r="D71">
        <v>50</v>
      </c>
      <c r="E71">
        <v>50</v>
      </c>
      <c r="F71">
        <v>0</v>
      </c>
      <c r="G71" t="str">
        <v>Cash</v>
      </c>
      <c r="H71" t="str">
        <v>Sat Feb 21 2026</v>
      </c>
      <c r="I71" t="str">
        <v>Mon Mar 02 2026</v>
      </c>
    </row>
    <row r="72">
      <c r="A72">
        <v>2592</v>
      </c>
      <c r="B72" t="str">
        <v xml:space="preserve">Tripti Yadav </v>
      </c>
      <c r="C72" t="str">
        <v>Female</v>
      </c>
      <c r="D72">
        <v>50</v>
      </c>
      <c r="E72">
        <v>50</v>
      </c>
      <c r="F72">
        <v>0</v>
      </c>
      <c r="G72" t="str">
        <v>Cash</v>
      </c>
      <c r="H72" t="str">
        <v>Thu Feb 26 2026</v>
      </c>
      <c r="I72" t="str">
        <v>Mon Mar 02 2026</v>
      </c>
    </row>
    <row r="73">
      <c r="A73">
        <v>2161</v>
      </c>
      <c r="B73" t="str">
        <v xml:space="preserve">Pooja Rathor </v>
      </c>
      <c r="C73" t="str">
        <v>Female</v>
      </c>
      <c r="D73">
        <v>50</v>
      </c>
      <c r="E73">
        <v>0</v>
      </c>
      <c r="F73">
        <v>50</v>
      </c>
      <c r="G73" t="str">
        <v>Cash</v>
      </c>
      <c r="H73" t="str">
        <v>Thu Jan 01 2026</v>
      </c>
      <c r="I73" t="str">
        <v>Mon Mar 02 2026</v>
      </c>
    </row>
  </sheetData>
  <ignoredErrors>
    <ignoredError numberStoredAsText="1" sqref="A1:N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Sat Mar 21 2026</vt:lpstr>
      <vt:lpstr>Fri Mar 20 2026</vt:lpstr>
      <vt:lpstr>Thu Mar 19 2026</vt:lpstr>
      <vt:lpstr>Wed Mar 18 2026</vt:lpstr>
      <vt:lpstr>Tue Mar 17 2026</vt:lpstr>
      <vt:lpstr>Mon Mar 16 2026</vt:lpstr>
      <vt:lpstr>Sat Mar 14 2026</vt:lpstr>
      <vt:lpstr>Fri Mar 13 2026</vt:lpstr>
      <vt:lpstr>Thu Mar 12 2026</vt:lpstr>
      <vt:lpstr>Mar 2026</vt:lpstr>
      <vt:lpstr>Wed Mar 11 2026</vt:lpstr>
      <vt:lpstr>Tue Mar 10 2026</vt:lpstr>
      <vt:lpstr>Mon Mar 09 2026</vt:lpstr>
      <vt:lpstr>Sat Mar 07 2026</vt:lpstr>
      <vt:lpstr>Fri Mar 06 2026</vt:lpstr>
      <vt:lpstr>Thu Mar 05 2026</vt:lpstr>
      <vt:lpstr>Tue Mar 03 2026</vt:lpstr>
      <vt:lpstr>Mon Mar 02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